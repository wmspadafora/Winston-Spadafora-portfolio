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venue Model" sheetId="2" state="visible" r:id="rId4"/>
    <sheet name="DCF Model" sheetId="3" state="visible" r:id="rId5"/>
    <sheet name="Beta Calculation" sheetId="4" state="visible" r:id="rId6"/>
    <sheet name="WACC" sheetId="5" state="visible" r:id="rId7"/>
    <sheet name="Cap Tab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<sst xmlns="http://schemas.openxmlformats.org/spreadsheetml/2006/main" count="193" uniqueCount="174">
  <si>
    <t xml:space="preserve">GigLedger — Model Assumptions</t>
  </si>
  <si>
    <t xml:space="preserve">MARKET &amp; PRICING</t>
  </si>
  <si>
    <t xml:space="preserve">Gig workforce (M, 2026)</t>
  </si>
  <si>
    <t xml:space="preserve">BLS / Statista</t>
  </si>
  <si>
    <t xml:space="preserve">Basic tier price ($/mo)</t>
  </si>
  <si>
    <t xml:space="preserve">Proposal — $14.99</t>
  </si>
  <si>
    <t xml:space="preserve">Pro tier price ($/mo)</t>
  </si>
  <si>
    <t xml:space="preserve">Proposal — $28.99</t>
  </si>
  <si>
    <t xml:space="preserve">Basic tier user mix</t>
  </si>
  <si>
    <t xml:space="preserve">60% of users on Basic</t>
  </si>
  <si>
    <t xml:space="preserve">Pro tier user mix</t>
  </si>
  <si>
    <t xml:space="preserve">40% of users on Pro</t>
  </si>
  <si>
    <t xml:space="preserve">USER GROWTH</t>
  </si>
  <si>
    <t xml:space="preserve">Base users Y1 (K)</t>
  </si>
  <si>
    <t xml:space="preserve">~0.024% TAM penetration</t>
  </si>
  <si>
    <t xml:space="preserve">Y1→Y2 growth rate</t>
  </si>
  <si>
    <t xml:space="preserve">3x YoY early stage</t>
  </si>
  <si>
    <t xml:space="preserve">Y2→Y3 growth rate</t>
  </si>
  <si>
    <t xml:space="preserve">2.1x</t>
  </si>
  <si>
    <t xml:space="preserve">Y3→Y4 growth rate</t>
  </si>
  <si>
    <t xml:space="preserve">1.8x</t>
  </si>
  <si>
    <t xml:space="preserve">Y4→Y5 growth rate</t>
  </si>
  <si>
    <t xml:space="preserve">1.56x</t>
  </si>
  <si>
    <t xml:space="preserve">Bear case multiplier</t>
  </si>
  <si>
    <t xml:space="preserve">50% of Base users</t>
  </si>
  <si>
    <t xml:space="preserve">Bull case multiplier</t>
  </si>
  <si>
    <t xml:space="preserve">165% of Base users</t>
  </si>
  <si>
    <t xml:space="preserve">COST STRUCTURE</t>
  </si>
  <si>
    <t xml:space="preserve">Fixed OpEx Y1 ($MM)</t>
  </si>
  <si>
    <t xml:space="preserve">Tech, compliance, team</t>
  </si>
  <si>
    <t xml:space="preserve">Fixed OpEx growth rate</t>
  </si>
  <si>
    <t xml:space="preserve">20% annual increase</t>
  </si>
  <si>
    <t xml:space="preserve">COGS as % of revenue</t>
  </si>
  <si>
    <t xml:space="preserve">BaaS fees, payment rails</t>
  </si>
  <si>
    <t xml:space="preserve">CAPEX Y1 ($MM)</t>
  </si>
  <si>
    <t xml:space="preserve">Platform build-out</t>
  </si>
  <si>
    <t xml:space="preserve">CAPEX growth rate</t>
  </si>
  <si>
    <t xml:space="preserve">10% annual increase</t>
  </si>
  <si>
    <t xml:space="preserve">NWC as % of revenue</t>
  </si>
  <si>
    <t xml:space="preserve">Digital-first, low NWC</t>
  </si>
  <si>
    <t xml:space="preserve">VALUATION INPUTS</t>
  </si>
  <si>
    <t xml:space="preserve">Risk-Free Rate (Rf)</t>
  </si>
  <si>
    <t xml:space="preserve">10-yr Treasury — April 2026</t>
  </si>
  <si>
    <t xml:space="preserve">Market Risk Premium</t>
  </si>
  <si>
    <t xml:space="preserve">Damodaran USA ERP</t>
  </si>
  <si>
    <t xml:space="preserve">Beta (unlevered)</t>
  </si>
  <si>
    <t xml:space="preserve">Peer avg 1.52 + 0.23 adj</t>
  </si>
  <si>
    <t xml:space="preserve">Tax Rate</t>
  </si>
  <si>
    <t xml:space="preserve">US corporate rate</t>
  </si>
  <si>
    <t xml:space="preserve">Terminal Growth Rate</t>
  </si>
  <si>
    <t xml:space="preserve">Gig economy industry growth</t>
  </si>
  <si>
    <t xml:space="preserve">Series A Raise ($MM)</t>
  </si>
  <si>
    <t xml:space="preserve">Funding ask</t>
  </si>
  <si>
    <t xml:space="preserve">Pre-Money Valuation ($MM)</t>
  </si>
  <si>
    <t xml:space="preserve">DCF-derived</t>
  </si>
  <si>
    <t xml:space="preserve">GigLedger — Revenue Model (Base Case)</t>
  </si>
  <si>
    <t xml:space="preserve">Metric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</si>
  <si>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</si>
  <si>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</si>
  <si>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</si>
  <si>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</si>
  <si>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</si>
  <si>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Base Users (K)</t>
  </si>
  <si>
    <t xml:space="preserve">Bear Users (K)</t>
  </si>
  <si>
    <t xml:space="preserve">Bull Users (K)</t>
  </si>
  <si>
    <t xml:space="preserve">ARPU CALCULATION</t>
  </si>
  <si>
    <t xml:space="preserve">Basic ARPU ($/yr)</t>
  </si>
  <si>
    <t xml:space="preserve">Pro ARPU ($/yr)</t>
  </si>
  <si>
    <t xml:space="preserve">Blended ARPU ($/yr)</t>
  </si>
  <si>
    <t xml:space="preserve">BASE CASE REVENUE ($MM)</t>
  </si>
  <si>
    <t xml:space="preserve">Subscription Revenue</t>
  </si>
  <si>
    <t xml:space="preserve">InvoiceNow Financing Fees</t>
  </si>
  <si>
    <t xml:space="preserve">IncomeFlow Bridge Fees</t>
  </si>
  <si>
    <t xml:space="preserve">Total Revenue — Base ($MM)</t>
  </si>
  <si>
    <t xml:space="preserve">BEAR CASE REVENUE ($MM)</t>
  </si>
  <si>
    <t xml:space="preserve">Bear Subscription Revenue</t>
  </si>
  <si>
    <t xml:space="preserve">Bear Financing Fees</t>
  </si>
  <si>
    <t xml:space="preserve">Bear Bridge Fees</t>
  </si>
  <si>
    <t xml:space="preserve">Total Revenue — Bear ($MM)</t>
  </si>
  <si>
    <t xml:space="preserve">BULL CASE REVENUE ($MM)</t>
  </si>
  <si>
    <t xml:space="preserve">Bull Subscription Revenue</t>
  </si>
  <si>
    <t xml:space="preserve">Bull Financing Fees</t>
  </si>
  <si>
    <t xml:space="preserve">Bull Bridge Fees</t>
  </si>
  <si>
    <t xml:space="preserve">Total Revenue — Bull ($MM)</t>
  </si>
  <si>
    <t xml:space="preserve">GigLedger — DCF Valuation Model</t>
  </si>
  <si>
    <t xml:space="preserve">Line Item ($MM)</t>
  </si>
  <si>
    <t xml:space="preserve">INCOME STATEMENT</t>
  </si>
  <si>
    <t xml:space="preserve">Total Revenue</t>
  </si>
  <si>
    <t xml:space="preserve">COGS</t>
  </si>
  <si>
    <t xml:space="preserve">Gross Profit</t>
  </si>
  <si>
    <t xml:space="preserve">Gross Margin %</t>
  </si>
  <si>
    <t xml:space="preserve">Fixed Operating Expenses</t>
  </si>
  <si>
    <t xml:space="preserve">EBITDA</t>
  </si>
  <si>
    <t xml:space="preserve">EBITDA Margin %</t>
  </si>
  <si>
    <t xml:space="preserve">D&amp;A (est. 5% of revenue)</t>
  </si>
  <si>
    <t xml:space="preserve">EBIT</t>
  </si>
  <si>
    <t xml:space="preserve">Taxes (21%)</t>
  </si>
  <si>
    <t xml:space="preserve">NOPAT</t>
  </si>
  <si>
    <t xml:space="preserve">FREE CASH FLOW</t>
  </si>
  <si>
    <t xml:space="preserve">Add back D&amp;A</t>
  </si>
  <si>
    <t xml:space="preserve">Less CAPEX</t>
  </si>
  <si>
    <t xml:space="preserve">Less Change in NWC</t>
  </si>
  <si>
    <t xml:space="preserve">Free Cash Flow (FCFF)</t>
  </si>
  <si>
    <t xml:space="preserve">DCF VALUATION</t>
  </si>
  <si>
    <t xml:space="preserve">WACC</t>
  </si>
  <si>
    <t xml:space="preserve">Period (n)</t>
  </si>
  <si>
    <t xml:space="preserve">Discount Factor</t>
  </si>
  <si>
    <t xml:space="preserve">PV of FCF</t>
  </si>
  <si>
    <t xml:space="preserve">TERMINAL VALUE &amp; SUMMARY</t>
  </si>
  <si>
    <t xml:space="preserve">Sum of PV(FCF)</t>
  </si>
  <si>
    <t xml:space="preserve">Terminal FCF (Y5 × (1+g))</t>
  </si>
  <si>
    <t xml:space="preserve">Terminal Value (TV)</t>
  </si>
  <si>
    <t xml:space="preserve">PV of Terminal Value</t>
  </si>
  <si>
    <t xml:space="preserve">Enterprise Value ($MM)</t>
  </si>
  <si>
    <t xml:space="preserve">Post-Money Valuation ($MM)</t>
  </si>
  <si>
    <t xml:space="preserve">Implied Ownership %</t>
  </si>
  <si>
    <t xml:space="preserve">GigLedger — Top-Down Beta Calculation (Peer Group)</t>
  </si>
  <si>
    <t xml:space="preserve">Company</t>
  </si>
  <si>
    <t xml:space="preserve">MVE ($B)</t>
  </si>
  <si>
    <t xml:space="preserve">EV ($B)</t>
  </si>
  <si>
    <t xml:space="preserve">D/E Ratio</t>
  </si>
  <si>
    <t xml:space="preserve">Levered Beta</t>
  </si>
  <si>
    <t xml:space="preserve">Unlevered Beta</t>
  </si>
  <si>
    <t xml:space="preserve">Intuit (INTU)</t>
  </si>
  <si>
    <t xml:space="preserve">Block (SQ)</t>
  </si>
  <si>
    <t xml:space="preserve">PayPal (PYPL)</t>
  </si>
  <si>
    <t xml:space="preserve">Robinhood (HOOD)</t>
  </si>
  <si>
    <t xml:space="preserve">Average Unlevered Beta</t>
  </si>
  <si>
    <t xml:space="preserve">Applied Beta (GigLedger)</t>
  </si>
  <si>
    <t xml:space="preserve">Note: Unlevered Beta = Levered Beta / (1 + (1 − Tax Rate) × D/E). Early-stage startup premium of +0.23 applied.</t>
  </si>
  <si>
    <t xml:space="preserve">Sources: SEC 10-K Annual Filings (Intuit, Block, PayPal, Robinhood), YCharts, Damodaran Online — April 2026</t>
  </si>
  <si>
    <t xml:space="preserve">GigLedger — WACC &amp; Cost of Capital</t>
  </si>
  <si>
    <t xml:space="preserve">CAPM CALCULATION</t>
  </si>
  <si>
    <t xml:space="preserve">10-yr US Treasury — April 2026</t>
  </si>
  <si>
    <t xml:space="preserve">Market Risk Premium (MRP)</t>
  </si>
  <si>
    <t xml:space="preserve">Damodaran USA Equity Risk Premium</t>
  </si>
  <si>
    <t xml:space="preserve">Beta (unlevered, applied)</t>
  </si>
  <si>
    <t xml:space="preserve">Peer avg 1.52 + startup adj. 0.23</t>
  </si>
  <si>
    <t xml:space="preserve">Cost of Equity (CAPM)</t>
  </si>
  <si>
    <t xml:space="preserve">Rf + β × MRP</t>
  </si>
  <si>
    <t xml:space="preserve">WACC (all-equity, no debt)</t>
  </si>
  <si>
    <t xml:space="preserve">Early-stage: assume no debt financing</t>
  </si>
  <si>
    <t xml:space="preserve">DAMODARAN CROSS-CHECK</t>
  </si>
  <si>
    <t xml:space="preserve">FinTech / Online Services</t>
  </si>
  <si>
    <t xml:space="preserve">Damodaran sector WACC — April 2026</t>
  </si>
  <si>
    <t xml:space="preserve">Software (Internet)</t>
  </si>
  <si>
    <t xml:space="preserve">Financial Services (Banks)</t>
  </si>
  <si>
    <t xml:space="preserve">GigLedger Applied WACC</t>
  </si>
  <si>
    <t xml:space="preserve">Our CAPM derivation</t>
  </si>
  <si>
    <t xml:space="preserve">TERMINAL VALUE INPUTS</t>
  </si>
  <si>
    <t xml:space="preserve">Long-run gig economy growth</t>
  </si>
  <si>
    <t xml:space="preserve">Projection Horizon (yrs)</t>
  </si>
  <si>
    <t xml:space="preserve">Rapid growth phase</t>
  </si>
  <si>
    <t xml:space="preserve">FCF Positive From (Year)</t>
  </si>
  <si>
    <t xml:space="preserve">2029 base case</t>
  </si>
  <si>
    <t xml:space="preserve">Formula: Cost of Equity = Rf + β × MRP = 4.50% + 1.75 × 4.33% = 12.08%  →  WACC = 12.1%</t>
  </si>
  <si>
    <t xml:space="preserve">Sources: US Treasury (treasury.gov), Damodaran Online (pages.stern.nyu.edu/~adamodar/) — April 2026</t>
  </si>
  <si>
    <t xml:space="preserve">GigLedger — Capitalization Table</t>
  </si>
  <si>
    <t xml:space="preserve">Shareholder</t>
  </si>
  <si>
    <t xml:space="preserve">Pre Shares</t>
  </si>
  <si>
    <t xml:space="preserve">Pre-Money %</t>
  </si>
  <si>
    <t xml:space="preserve">New Shares</t>
  </si>
  <si>
    <t xml:space="preserve">Post Shares</t>
  </si>
  <si>
    <t xml:space="preserve">Post-Money %</t>
  </si>
  <si>
    <t xml:space="preserve">Founders (combined)</t>
  </si>
  <si>
    <t xml:space="preserve">Employee Option Pool</t>
  </si>
  <si>
    <t xml:space="preserve">Series A Investors</t>
  </si>
  <si>
    <t xml:space="preserve">TOTAL</t>
  </si>
  <si>
    <t xml:space="preserve">KEY METRICS</t>
  </si>
  <si>
    <t xml:space="preserve">Pre + Raise</t>
  </si>
  <si>
    <t xml:space="preserve">Price per Share ($)</t>
  </si>
  <si>
    <t xml:space="preserve">Post-money / total shares</t>
  </si>
  <si>
    <t xml:space="preserve">Series A Ownership %</t>
  </si>
  <si>
    <t xml:space="preserve">Investor implied stake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</si>
</sst>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#,##0.00"/>
    <numFmt numFmtId="167" formatCode="0.0%"/>
    <numFmt numFmtId="168" formatCode="#,##0.0"/>
    <numFmt numFmtId="169" formatCode="\$#,##0.00"/>
    <numFmt numFmtId="170" formatCode="\$#,##0.0;&quot;($&quot;#,##0.0\);\-"/>
    <numFmt numFmtId="171" formatCode="0"/>
    <numFmt numFmtId="172" formatCode="0.000"/>
    <numFmt numFmtId="173" formatCode="0.00"/>
    <numFmt numFmtId="174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B1D2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B1D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1D2E"/>
        <bgColor rgb="FF003366"/>
      </patternFill>
    </fill>
    <fill>
      <patternFill patternType="solid">
        <fgColor rgb="FFFFFACD"/>
        <bgColor rgb="FFFFFFFF"/>
      </patternFill>
    </fill>
    <fill>
      <patternFill patternType="solid">
        <fgColor rgb="FF00B4A6"/>
        <bgColor rgb="FF33CCCC"/>
      </patternFill>
    </fill>
    <fill>
      <patternFill patternType="solid">
        <fgColor rgb="FFEEF4FB"/>
        <bgColor rgb="FFE0F7F5"/>
      </patternFill>
    </fill>
    <fill>
      <patternFill patternType="solid">
        <fgColor rgb="FFE0F7F5"/>
        <bgColor rgb="FFEEF4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ACD"/>
      <rgbColor rgb="FFE0F7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A6"/>
      <rgbColor rgb="FFEEF4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1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38"/>
  </cols>
  <sheetData>
    <row r="1" customFormat="false" ht="27.75" hidden="false" customHeight="true" outlineLevel="0" collapsed="false">
      <c r="A1" s="1" t="s">
        <v>0</v>
      </c>
      <c r="B1" s="1"/>
      <c r="C1" s="1"/>
    </row>
    <row r="3" customFormat="false" ht="18" hidden="false" customHeight="true" outlineLevel="0" collapsed="false">
      <c r="A3" s="2" t="s">
        <v>1</v>
      </c>
      <c r="B3" s="2"/>
      <c r="C3" s="2"/>
    </row>
    <row r="4" customFormat="false" ht="18" hidden="false" customHeight="true" outlineLevel="0" collapsed="false">
      <c r="A4" s="3" t="s">
        <v>2</v>
      </c>
      <c r="B4" s="4" t="n">
        <v>58</v>
      </c>
      <c r="C4" s="5" t="s">
        <v>3</v>
      </c>
    </row>
    <row r="5" customFormat="false" ht="18" hidden="false" customHeight="true" outlineLevel="0" collapsed="false">
      <c r="A5" s="3" t="s">
        <v>4</v>
      </c>
      <c r="B5" s="6" t="n">
        <v>14.99</v>
      </c>
      <c r="C5" s="5" t="s">
        <v>5</v>
      </c>
    </row>
    <row r="6" customFormat="false" ht="18" hidden="false" customHeight="true" outlineLevel="0" collapsed="false">
      <c r="A6" s="3" t="s">
        <v>6</v>
      </c>
      <c r="B6" s="6" t="n">
        <v>28.99</v>
      </c>
      <c r="C6" s="5" t="s">
        <v>7</v>
      </c>
    </row>
    <row r="7" customFormat="false" ht="18" hidden="false" customHeight="true" outlineLevel="0" collapsed="false">
      <c r="A7" s="3" t="s">
        <v>8</v>
      </c>
      <c r="B7" s="7" t="n">
        <v>0.6</v>
      </c>
      <c r="C7" s="5" t="s">
        <v>9</v>
      </c>
    </row>
    <row r="8" customFormat="false" ht="18" hidden="false" customHeight="true" outlineLevel="0" collapsed="false">
      <c r="A8" s="3" t="s">
        <v>10</v>
      </c>
      <c r="B8" s="7" t="n">
        <v>0.4</v>
      </c>
      <c r="C8" s="5" t="s">
        <v>11</v>
      </c>
    </row>
    <row r="9" customFormat="false" ht="15" hidden="false" customHeight="false" outlineLevel="0" collapsed="false">
      <c r="A9" s="8"/>
      <c r="B9" s="8"/>
      <c r="C9" s="8"/>
    </row>
    <row r="10" customFormat="false" ht="18" hidden="false" customHeight="true" outlineLevel="0" collapsed="false">
      <c r="A10" s="2" t="s">
        <v>12</v>
      </c>
      <c r="B10" s="2"/>
      <c r="C10" s="2"/>
    </row>
    <row r="11" customFormat="false" ht="18" hidden="false" customHeight="true" outlineLevel="0" collapsed="false">
      <c r="A11" s="3" t="s">
        <v>13</v>
      </c>
      <c r="B11" s="4" t="n">
        <v>14</v>
      </c>
      <c r="C11" s="5" t="s">
        <v>14</v>
      </c>
    </row>
    <row r="12" customFormat="false" ht="18" hidden="false" customHeight="true" outlineLevel="0" collapsed="false">
      <c r="A12" s="3" t="s">
        <v>15</v>
      </c>
      <c r="B12" s="6" t="n">
        <v>2</v>
      </c>
      <c r="C12" s="5" t="s">
        <v>16</v>
      </c>
    </row>
    <row r="13" customFormat="false" ht="18" hidden="false" customHeight="true" outlineLevel="0" collapsed="false">
      <c r="A13" s="3" t="s">
        <v>17</v>
      </c>
      <c r="B13" s="7" t="n">
        <v>1.12</v>
      </c>
      <c r="C13" s="5" t="s">
        <v>18</v>
      </c>
    </row>
    <row r="14" customFormat="false" ht="18" hidden="false" customHeight="true" outlineLevel="0" collapsed="false">
      <c r="A14" s="3" t="s">
        <v>19</v>
      </c>
      <c r="B14" s="7" t="n">
        <v>0.8</v>
      </c>
      <c r="C14" s="5" t="s">
        <v>20</v>
      </c>
    </row>
    <row r="15" customFormat="false" ht="18" hidden="false" customHeight="true" outlineLevel="0" collapsed="false">
      <c r="A15" s="3" t="s">
        <v>21</v>
      </c>
      <c r="B15" s="7" t="n">
        <v>0.56</v>
      </c>
      <c r="C15" s="5" t="s">
        <v>22</v>
      </c>
    </row>
    <row r="16" customFormat="false" ht="18" hidden="false" customHeight="true" outlineLevel="0" collapsed="false">
      <c r="A16" s="3" t="s">
        <v>23</v>
      </c>
      <c r="B16" s="7" t="n">
        <v>0.5</v>
      </c>
      <c r="C16" s="5" t="s">
        <v>24</v>
      </c>
    </row>
    <row r="17" customFormat="false" ht="18" hidden="false" customHeight="true" outlineLevel="0" collapsed="false">
      <c r="A17" s="3" t="s">
        <v>25</v>
      </c>
      <c r="B17" s="7" t="n">
        <v>1.65</v>
      </c>
      <c r="C17" s="5" t="s">
        <v>26</v>
      </c>
    </row>
    <row r="18" customFormat="false" ht="15" hidden="false" customHeight="false" outlineLevel="0" collapsed="false">
      <c r="A18" s="8"/>
      <c r="B18" s="8"/>
      <c r="C18" s="8"/>
    </row>
    <row r="19" customFormat="false" ht="18" hidden="false" customHeight="true" outlineLevel="0" collapsed="false">
      <c r="A19" s="2" t="s">
        <v>27</v>
      </c>
      <c r="B19" s="2"/>
      <c r="C19" s="2"/>
    </row>
    <row r="20" customFormat="false" ht="18" hidden="false" customHeight="true" outlineLevel="0" collapsed="false">
      <c r="A20" s="3" t="s">
        <v>28</v>
      </c>
      <c r="B20" s="6" t="n">
        <v>8.2</v>
      </c>
      <c r="C20" s="5" t="s">
        <v>29</v>
      </c>
    </row>
    <row r="21" customFormat="false" ht="18" hidden="false" customHeight="true" outlineLevel="0" collapsed="false">
      <c r="A21" s="3" t="s">
        <v>30</v>
      </c>
      <c r="B21" s="7" t="n">
        <v>0.2</v>
      </c>
      <c r="C21" s="5" t="s">
        <v>31</v>
      </c>
    </row>
    <row r="22" customFormat="false" ht="18" hidden="false" customHeight="true" outlineLevel="0" collapsed="false">
      <c r="A22" s="3" t="s">
        <v>32</v>
      </c>
      <c r="B22" s="7" t="n">
        <v>0.28</v>
      </c>
      <c r="C22" s="5" t="s">
        <v>33</v>
      </c>
    </row>
    <row r="23" customFormat="false" ht="18" hidden="false" customHeight="true" outlineLevel="0" collapsed="false">
      <c r="A23" s="3" t="s">
        <v>34</v>
      </c>
      <c r="B23" s="7" t="n">
        <v>1.5</v>
      </c>
      <c r="C23" s="5" t="s">
        <v>35</v>
      </c>
    </row>
    <row r="24" customFormat="false" ht="18" hidden="false" customHeight="true" outlineLevel="0" collapsed="false">
      <c r="A24" s="3" t="s">
        <v>36</v>
      </c>
      <c r="B24" s="7" t="n">
        <v>0.1</v>
      </c>
      <c r="C24" s="5" t="s">
        <v>37</v>
      </c>
    </row>
    <row r="25" customFormat="false" ht="18" hidden="false" customHeight="true" outlineLevel="0" collapsed="false">
      <c r="A25" s="3" t="s">
        <v>38</v>
      </c>
      <c r="B25" s="7" t="n">
        <v>0.02</v>
      </c>
      <c r="C25" s="5" t="s">
        <v>39</v>
      </c>
    </row>
    <row r="26" customFormat="false" ht="15" hidden="false" customHeight="false" outlineLevel="0" collapsed="false">
      <c r="A26" s="8"/>
      <c r="B26" s="8"/>
      <c r="C26" s="8"/>
    </row>
    <row r="27" customFormat="false" ht="18" hidden="false" customHeight="true" outlineLevel="0" collapsed="false">
      <c r="A27" s="2" t="s">
        <v>40</v>
      </c>
      <c r="B27" s="2"/>
      <c r="C27" s="2"/>
    </row>
    <row r="28" customFormat="false" ht="18" hidden="false" customHeight="true" outlineLevel="0" collapsed="false">
      <c r="A28" s="3" t="s">
        <v>41</v>
      </c>
      <c r="B28" s="7" t="n">
        <v>0.045</v>
      </c>
      <c r="C28" s="5" t="s">
        <v>42</v>
      </c>
    </row>
    <row r="29" customFormat="false" ht="18" hidden="false" customHeight="true" outlineLevel="0" collapsed="false">
      <c r="A29" s="3" t="s">
        <v>43</v>
      </c>
      <c r="B29" s="7" t="n">
        <v>0.0433</v>
      </c>
      <c r="C29" s="5" t="s">
        <v>44</v>
      </c>
    </row>
    <row r="30" customFormat="false" ht="18" hidden="false" customHeight="true" outlineLevel="0" collapsed="false">
      <c r="A30" s="3" t="s">
        <v>45</v>
      </c>
      <c r="B30" s="7" t="n">
        <v>1.75</v>
      </c>
      <c r="C30" s="5" t="s">
        <v>46</v>
      </c>
    </row>
    <row r="31" customFormat="false" ht="18" hidden="false" customHeight="true" outlineLevel="0" collapsed="false">
      <c r="A31" s="3" t="s">
        <v>47</v>
      </c>
      <c r="B31" s="7" t="n">
        <v>0.21</v>
      </c>
      <c r="C31" s="5" t="s">
        <v>48</v>
      </c>
    </row>
    <row r="32" customFormat="false" ht="18" hidden="false" customHeight="true" outlineLevel="0" collapsed="false">
      <c r="A32" s="3" t="s">
        <v>49</v>
      </c>
      <c r="B32" s="7" t="n">
        <v>0.04</v>
      </c>
      <c r="C32" s="5" t="s">
        <v>50</v>
      </c>
    </row>
    <row r="33" customFormat="false" ht="18" hidden="false" customHeight="true" outlineLevel="0" collapsed="false">
      <c r="A33" s="3" t="s">
        <v>51</v>
      </c>
      <c r="B33" s="4" t="n">
        <v>15</v>
      </c>
      <c r="C33" s="5" t="s">
        <v>52</v>
      </c>
    </row>
    <row r="34" customFormat="false" ht="18" hidden="false" customHeight="true" outlineLevel="0" collapsed="false">
      <c r="A34" s="3" t="s">
        <v>53</v>
      </c>
      <c r="B34" s="4" t="n">
        <v>45</v>
      </c>
      <c r="C34" s="5" t="s">
        <v>54</v>
      </c>
    </row>
  </sheetData>
  <mergeCells count="5">
    <mergeCell ref="A1:C1"/>
    <mergeCell ref="A3:C3"/>
    <mergeCell ref="A10:C10"/>
    <mergeCell ref="A19:C19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4"/>
  </cols>
  <sheetData>
    <row r="1" customFormat="false" ht="25.5" hidden="false" customHeight="true" outlineLevel="0" collapsed="false">
      <c r="A1" s="9" t="s">
        <v>55</v>
      </c>
      <c r="B1" s="9"/>
      <c r="C1" s="9"/>
      <c r="D1" s="9"/>
      <c r="E1" s="9"/>
      <c r="F1" s="9"/>
    </row>
    <row r="2" customFormat="false" ht="18" hidden="false" customHeight="true" outlineLevel="0" collapsed="false">
      <c r="A2" s="10" t="s">
        <v>56</v>
      </c>
      <c r="B2" s="11" t="s">
        <v>57</v>
      </c>
      <c r="C2" s="11" t="s">
        <v>58</v>
      </c>
      <c r="D2" s="11" t="s">
        <v>59</v>
      </c>
      <c r="E2" s="11" t="s">
        <v>60</v>
      </c>
      <c r="F2" s="11" t="s">
        <v>61</v>
      </c>
    </row>
    <row r="3" customFormat="false" ht="18" hidden="false" customHeight="true" outlineLevel="0" collapsed="false">
      <c r="A3" s="2" t="s">
        <v>12</v>
      </c>
      <c r="B3" s="2"/>
      <c r="C3" s="2"/>
      <c r="D3" s="2"/>
      <c r="E3" s="2"/>
      <c r="F3" s="2"/>
    </row>
    <row r="4" customFormat="false" ht="18" hidden="false" customHeight="true" outlineLevel="0" collapsed="false">
      <c r="A4" s="12" t="s">
        <v>62</v>
      </c>
      <c r="B4" s="13" t="n">
        <f aca="false">Assumptions!B11</f>
        <v>14</v>
      </c>
      <c r="C4" s="13" t="n">
        <f aca="false">B4*(1+Assumptions!B12)</f>
        <v>42</v>
      </c>
      <c r="D4" s="13" t="n">
        <f aca="false">C4*(1+Assumptions!B13)</f>
        <v>89.04</v>
      </c>
      <c r="E4" s="13" t="n">
        <f aca="false">D4*(1+Assumptions!B14)</f>
        <v>160.272</v>
      </c>
      <c r="F4" s="13" t="n">
        <f aca="false">E4*(1+Assumptions!B15)</f>
        <v>250.02432</v>
      </c>
    </row>
    <row r="5" customFormat="false" ht="18" hidden="false" customHeight="true" outlineLevel="0" collapsed="false">
      <c r="A5" s="3" t="s">
        <v>63</v>
      </c>
      <c r="B5" s="14" t="n">
        <f aca="false">B4*Assumptions!B16</f>
        <v>7</v>
      </c>
      <c r="C5" s="14" t="n">
        <f aca="false">C4*Assumptions!$B$16</f>
        <v>21</v>
      </c>
      <c r="D5" s="14" t="n">
        <f aca="false">D4*Assumptions!$B$16</f>
        <v>44.52</v>
      </c>
      <c r="E5" s="14" t="n">
        <f aca="false">E4*Assumptions!$B$16</f>
        <v>80.136</v>
      </c>
      <c r="F5" s="14" t="n">
        <f aca="false">F4*Assumptions!$B$16</f>
        <v>125.01216</v>
      </c>
    </row>
    <row r="6" customFormat="false" ht="18" hidden="false" customHeight="true" outlineLevel="0" collapsed="false">
      <c r="A6" s="12" t="s">
        <v>64</v>
      </c>
      <c r="B6" s="13" t="n">
        <f aca="false">B4*Assumptions!B17</f>
        <v>23.1</v>
      </c>
      <c r="C6" s="13" t="n">
        <f aca="false">C4*Assumptions!$B$17</f>
        <v>69.3</v>
      </c>
      <c r="D6" s="13" t="n">
        <f aca="false">D4*Assumptions!$B$17</f>
        <v>146.916</v>
      </c>
      <c r="E6" s="13" t="n">
        <f aca="false">E4*Assumptions!$B$17</f>
        <v>264.4488</v>
      </c>
      <c r="F6" s="13" t="n">
        <f aca="false">F4*Assumptions!$B$17</f>
        <v>412.540128</v>
      </c>
    </row>
    <row r="7" customFormat="false" ht="15" hidden="false" customHeight="false" outlineLevel="0" collapsed="false">
      <c r="A7" s="8"/>
      <c r="B7" s="8"/>
      <c r="C7" s="8"/>
      <c r="D7" s="8"/>
      <c r="E7" s="8"/>
      <c r="F7" s="8"/>
    </row>
    <row r="8" customFormat="false" ht="18" hidden="false" customHeight="true" outlineLevel="0" collapsed="false">
      <c r="A8" s="2" t="s">
        <v>65</v>
      </c>
      <c r="B8" s="2"/>
      <c r="C8" s="2"/>
      <c r="D8" s="2"/>
      <c r="E8" s="2"/>
      <c r="F8" s="2"/>
    </row>
    <row r="9" customFormat="false" ht="18" hidden="false" customHeight="true" outlineLevel="0" collapsed="false">
      <c r="A9" s="3" t="s">
        <v>66</v>
      </c>
      <c r="B9" s="15" t="n">
        <f aca="false">Assumptions!B5*12</f>
        <v>179.88</v>
      </c>
      <c r="C9" s="15" t="n">
        <f aca="false">Assumptions!B5*12</f>
        <v>179.88</v>
      </c>
      <c r="D9" s="15" t="n">
        <f aca="false">Assumptions!B5*12</f>
        <v>179.88</v>
      </c>
      <c r="E9" s="15" t="n">
        <f aca="false">Assumptions!B5*12</f>
        <v>179.88</v>
      </c>
      <c r="F9" s="15" t="n">
        <f aca="false">Assumptions!B5*12</f>
        <v>179.88</v>
      </c>
    </row>
    <row r="10" customFormat="false" ht="18" hidden="false" customHeight="true" outlineLevel="0" collapsed="false">
      <c r="A10" s="12" t="s">
        <v>67</v>
      </c>
      <c r="B10" s="16" t="n">
        <f aca="false">Assumptions!B6*12</f>
        <v>347.88</v>
      </c>
      <c r="C10" s="16" t="n">
        <f aca="false">Assumptions!B6*12</f>
        <v>347.88</v>
      </c>
      <c r="D10" s="16" t="n">
        <f aca="false">Assumptions!B6*12</f>
        <v>347.88</v>
      </c>
      <c r="E10" s="16" t="n">
        <f aca="false">Assumptions!B6*12</f>
        <v>347.88</v>
      </c>
      <c r="F10" s="16" t="n">
        <f aca="false">Assumptions!B6*12</f>
        <v>347.88</v>
      </c>
    </row>
    <row r="11" customFormat="false" ht="18" hidden="false" customHeight="true" outlineLevel="0" collapsed="false">
      <c r="A11" s="3" t="s">
        <v>68</v>
      </c>
      <c r="B11" s="15" t="n">
        <f aca="false">B9*Assumptions!$B$7+B10*Assumptions!$B$8</f>
        <v>247.08</v>
      </c>
      <c r="C11" s="15" t="n">
        <f aca="false">C9*Assumptions!$B$7+C10*Assumptions!$B$8</f>
        <v>247.08</v>
      </c>
      <c r="D11" s="15" t="n">
        <f aca="false">D9*Assumptions!$B$7+D10*Assumptions!$B$8</f>
        <v>247.08</v>
      </c>
      <c r="E11" s="15" t="n">
        <f aca="false">E9*Assumptions!$B$7+E10*Assumptions!$B$8</f>
        <v>247.08</v>
      </c>
      <c r="F11" s="15" t="n">
        <f aca="false">F9*Assumptions!$B$7+F10*Assumptions!$B$8</f>
        <v>247.08</v>
      </c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</row>
    <row r="13" customFormat="false" ht="18" hidden="false" customHeight="true" outlineLevel="0" collapsed="false">
      <c r="A13" s="2" t="s">
        <v>69</v>
      </c>
      <c r="B13" s="2"/>
      <c r="C13" s="2"/>
      <c r="D13" s="2"/>
      <c r="E13" s="2"/>
      <c r="F13" s="2"/>
    </row>
    <row r="14" customFormat="false" ht="18" hidden="false" customHeight="true" outlineLevel="0" collapsed="false">
      <c r="A14" s="12" t="s">
        <v>70</v>
      </c>
      <c r="B14" s="17" t="n">
        <f aca="false">B4*B11/1000</f>
        <v>3.45912</v>
      </c>
      <c r="C14" s="17" t="n">
        <f aca="false">C4*C11/1000</f>
        <v>10.37736</v>
      </c>
      <c r="D14" s="17" t="n">
        <f aca="false">D4*D11/1000</f>
        <v>22.0000032</v>
      </c>
      <c r="E14" s="17" t="n">
        <f aca="false">E4*E11/1000</f>
        <v>39.60000576</v>
      </c>
      <c r="F14" s="17" t="n">
        <f aca="false">F4*F11/1000</f>
        <v>61.7760089856</v>
      </c>
    </row>
    <row r="15" customFormat="false" ht="18" hidden="false" customHeight="true" outlineLevel="0" collapsed="false">
      <c r="A15" s="3" t="s">
        <v>71</v>
      </c>
      <c r="B15" s="18" t="n">
        <f aca="false">B14*0.18</f>
        <v>0.6226416</v>
      </c>
      <c r="C15" s="18" t="n">
        <f aca="false">C14*0.18</f>
        <v>1.8679248</v>
      </c>
      <c r="D15" s="18" t="n">
        <f aca="false">D14*0.18</f>
        <v>3.960000576</v>
      </c>
      <c r="E15" s="18" t="n">
        <f aca="false">E14*0.18</f>
        <v>7.1280010368</v>
      </c>
      <c r="F15" s="18" t="n">
        <f aca="false">F14*0.18</f>
        <v>11.119681617408</v>
      </c>
    </row>
    <row r="16" customFormat="false" ht="18" hidden="false" customHeight="true" outlineLevel="0" collapsed="false">
      <c r="A16" s="12" t="s">
        <v>72</v>
      </c>
      <c r="B16" s="17" t="n">
        <f aca="false">B14*0.12</f>
        <v>0.4150944</v>
      </c>
      <c r="C16" s="17" t="n">
        <f aca="false">C14*0.12</f>
        <v>1.2452832</v>
      </c>
      <c r="D16" s="17" t="n">
        <f aca="false">D14*0.12</f>
        <v>2.640000384</v>
      </c>
      <c r="E16" s="17" t="n">
        <f aca="false">E14*0.12</f>
        <v>4.7520006912</v>
      </c>
      <c r="F16" s="17" t="n">
        <f aca="false">F14*0.12</f>
        <v>7.413121078272</v>
      </c>
    </row>
    <row r="17" customFormat="false" ht="18" hidden="false" customHeight="true" outlineLevel="0" collapsed="false">
      <c r="A17" s="19" t="s">
        <v>73</v>
      </c>
      <c r="B17" s="20" t="n">
        <f aca="false">SUM(B14:B16)</f>
        <v>4.496856</v>
      </c>
      <c r="C17" s="20" t="n">
        <f aca="false">SUM(C14:C16)</f>
        <v>13.490568</v>
      </c>
      <c r="D17" s="20" t="n">
        <f aca="false">SUM(D14:D16)</f>
        <v>28.60000416</v>
      </c>
      <c r="E17" s="20" t="n">
        <f aca="false">SUM(E14:E16)</f>
        <v>51.480007488</v>
      </c>
      <c r="F17" s="20" t="n">
        <f aca="false">SUM(F14:F16)</f>
        <v>80.30881168128</v>
      </c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</row>
    <row r="19" customFormat="false" ht="18" hidden="false" customHeight="true" outlineLevel="0" collapsed="false">
      <c r="A19" s="2" t="s">
        <v>74</v>
      </c>
      <c r="B19" s="2"/>
      <c r="C19" s="2"/>
      <c r="D19" s="2"/>
      <c r="E19" s="2"/>
      <c r="F19" s="2"/>
    </row>
    <row r="20" customFormat="false" ht="18" hidden="false" customHeight="true" outlineLevel="0" collapsed="false">
      <c r="A20" s="12" t="s">
        <v>75</v>
      </c>
      <c r="B20" s="17" t="n">
        <f aca="false">B5*B11/1000</f>
        <v>1.72956</v>
      </c>
      <c r="C20" s="17" t="n">
        <f aca="false">C5*C11/1000</f>
        <v>5.18868</v>
      </c>
      <c r="D20" s="17" t="n">
        <f aca="false">D5*D11/1000</f>
        <v>11.0000016</v>
      </c>
      <c r="E20" s="17" t="n">
        <f aca="false">E5*E11/1000</f>
        <v>19.80000288</v>
      </c>
      <c r="F20" s="17" t="n">
        <f aca="false">F5*F11/1000</f>
        <v>30.8880044928</v>
      </c>
    </row>
    <row r="21" customFormat="false" ht="18" hidden="false" customHeight="true" outlineLevel="0" collapsed="false">
      <c r="A21" s="3" t="s">
        <v>76</v>
      </c>
      <c r="B21" s="18" t="n">
        <f aca="false">B20*0.18</f>
        <v>0.3113208</v>
      </c>
      <c r="C21" s="18" t="n">
        <f aca="false">C20*0.18</f>
        <v>0.9339624</v>
      </c>
      <c r="D21" s="18" t="n">
        <f aca="false">D20*0.18</f>
        <v>1.980000288</v>
      </c>
      <c r="E21" s="18" t="n">
        <f aca="false">E20*0.18</f>
        <v>3.5640005184</v>
      </c>
      <c r="F21" s="18" t="n">
        <f aca="false">F20*0.18</f>
        <v>5.559840808704</v>
      </c>
    </row>
    <row r="22" customFormat="false" ht="18" hidden="false" customHeight="true" outlineLevel="0" collapsed="false">
      <c r="A22" s="12" t="s">
        <v>77</v>
      </c>
      <c r="B22" s="17" t="n">
        <f aca="false">B20*0.12</f>
        <v>0.2075472</v>
      </c>
      <c r="C22" s="17" t="n">
        <f aca="false">C20*0.12</f>
        <v>0.6226416</v>
      </c>
      <c r="D22" s="17" t="n">
        <f aca="false">D20*0.12</f>
        <v>1.320000192</v>
      </c>
      <c r="E22" s="17" t="n">
        <f aca="false">E20*0.12</f>
        <v>2.3760003456</v>
      </c>
      <c r="F22" s="17" t="n">
        <f aca="false">F20*0.12</f>
        <v>3.706560539136</v>
      </c>
    </row>
    <row r="23" customFormat="false" ht="18" hidden="false" customHeight="true" outlineLevel="0" collapsed="false">
      <c r="A23" s="19" t="s">
        <v>78</v>
      </c>
      <c r="B23" s="20" t="n">
        <f aca="false">SUM(B20:B22)</f>
        <v>2.248428</v>
      </c>
      <c r="C23" s="20" t="n">
        <f aca="false">SUM(C20:C22)</f>
        <v>6.745284</v>
      </c>
      <c r="D23" s="20" t="n">
        <f aca="false">SUM(D20:D22)</f>
        <v>14.30000208</v>
      </c>
      <c r="E23" s="20" t="n">
        <f aca="false">SUM(E20:E22)</f>
        <v>25.740003744</v>
      </c>
      <c r="F23" s="20" t="n">
        <f aca="false">SUM(F20:F22)</f>
        <v>40.15440584064</v>
      </c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</row>
    <row r="25" customFormat="false" ht="18" hidden="false" customHeight="true" outlineLevel="0" collapsed="false">
      <c r="A25" s="2" t="s">
        <v>79</v>
      </c>
      <c r="B25" s="2"/>
      <c r="C25" s="2"/>
      <c r="D25" s="2"/>
      <c r="E25" s="2"/>
      <c r="F25" s="2"/>
    </row>
    <row r="26" customFormat="false" ht="18" hidden="false" customHeight="true" outlineLevel="0" collapsed="false">
      <c r="A26" s="12" t="s">
        <v>80</v>
      </c>
      <c r="B26" s="17" t="n">
        <f aca="false">B6*B11/1000</f>
        <v>5.707548</v>
      </c>
      <c r="C26" s="17" t="n">
        <f aca="false">C6*C11/1000</f>
        <v>17.122644</v>
      </c>
      <c r="D26" s="17" t="n">
        <f aca="false">D6*D11/1000</f>
        <v>36.30000528</v>
      </c>
      <c r="E26" s="17" t="n">
        <f aca="false">E6*E11/1000</f>
        <v>65.340009504</v>
      </c>
      <c r="F26" s="17" t="n">
        <f aca="false">F6*F11/1000</f>
        <v>101.93041482624</v>
      </c>
    </row>
    <row r="27" customFormat="false" ht="18" hidden="false" customHeight="true" outlineLevel="0" collapsed="false">
      <c r="A27" s="3" t="s">
        <v>81</v>
      </c>
      <c r="B27" s="18" t="n">
        <f aca="false">B26*0.18</f>
        <v>1.02735864</v>
      </c>
      <c r="C27" s="18" t="n">
        <f aca="false">C26*0.18</f>
        <v>3.08207592</v>
      </c>
      <c r="D27" s="18" t="n">
        <f aca="false">D26*0.18</f>
        <v>6.5340009504</v>
      </c>
      <c r="E27" s="18" t="n">
        <f aca="false">E26*0.18</f>
        <v>11.76120171072</v>
      </c>
      <c r="F27" s="18" t="n">
        <f aca="false">F26*0.18</f>
        <v>18.3474746687232</v>
      </c>
    </row>
    <row r="28" customFormat="false" ht="18" hidden="false" customHeight="true" outlineLevel="0" collapsed="false">
      <c r="A28" s="12" t="s">
        <v>82</v>
      </c>
      <c r="B28" s="17" t="n">
        <f aca="false">B26*0.12</f>
        <v>0.68490576</v>
      </c>
      <c r="C28" s="17" t="n">
        <f aca="false">C26*0.12</f>
        <v>2.05471728</v>
      </c>
      <c r="D28" s="17" t="n">
        <f aca="false">D26*0.12</f>
        <v>4.3560006336</v>
      </c>
      <c r="E28" s="17" t="n">
        <f aca="false">E26*0.12</f>
        <v>7.84080114048</v>
      </c>
      <c r="F28" s="17" t="n">
        <f aca="false">F26*0.12</f>
        <v>12.2316497791488</v>
      </c>
    </row>
    <row r="29" customFormat="false" ht="18" hidden="false" customHeight="true" outlineLevel="0" collapsed="false">
      <c r="A29" s="19" t="s">
        <v>83</v>
      </c>
      <c r="B29" s="20" t="n">
        <f aca="false">SUM(B26:B28)</f>
        <v>7.4198124</v>
      </c>
      <c r="C29" s="20" t="n">
        <f aca="false">SUM(C26:C28)</f>
        <v>22.2594372</v>
      </c>
      <c r="D29" s="20" t="n">
        <f aca="false">SUM(D26:D28)</f>
        <v>47.190006864</v>
      </c>
      <c r="E29" s="20" t="n">
        <f aca="false">SUM(E26:E28)</f>
        <v>84.9420123552</v>
      </c>
      <c r="F29" s="20" t="n">
        <f aca="false">SUM(F26:F28)</f>
        <v>132.509539274112</v>
      </c>
    </row>
  </sheetData>
  <mergeCells count="6">
    <mergeCell ref="A1:F1"/>
    <mergeCell ref="A3:F3"/>
    <mergeCell ref="A8:F8"/>
    <mergeCell ref="A13:F13"/>
    <mergeCell ref="A19:F19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4"/>
  </cols>
  <sheetData>
    <row r="1" customFormat="false" ht="25.5" hidden="false" customHeight="true" outlineLevel="0" collapsed="false">
      <c r="A1" s="9" t="s">
        <v>84</v>
      </c>
      <c r="B1" s="9"/>
      <c r="C1" s="9"/>
      <c r="D1" s="9"/>
      <c r="E1" s="9"/>
      <c r="F1" s="9"/>
    </row>
    <row r="2" customFormat="false" ht="18" hidden="false" customHeight="true" outlineLevel="0" collapsed="false">
      <c r="A2" s="10" t="s">
        <v>85</v>
      </c>
      <c r="B2" s="11" t="s">
        <v>57</v>
      </c>
      <c r="C2" s="11" t="s">
        <v>58</v>
      </c>
      <c r="D2" s="11" t="s">
        <v>59</v>
      </c>
      <c r="E2" s="11" t="s">
        <v>60</v>
      </c>
      <c r="F2" s="11" t="s">
        <v>61</v>
      </c>
    </row>
    <row r="3" customFormat="false" ht="18" hidden="false" customHeight="true" outlineLevel="0" collapsed="false">
      <c r="A3" s="2" t="s">
        <v>86</v>
      </c>
      <c r="B3" s="2"/>
      <c r="C3" s="2"/>
      <c r="D3" s="2"/>
      <c r="E3" s="2"/>
      <c r="F3" s="2"/>
    </row>
    <row r="4" customFormat="false" ht="18" hidden="false" customHeight="true" outlineLevel="0" collapsed="false">
      <c r="A4" s="12" t="s">
        <v>87</v>
      </c>
      <c r="B4" s="17" t="n">
        <f aca="false">'Revenue Model'!B17</f>
        <v>4.496856</v>
      </c>
      <c r="C4" s="17" t="n">
        <f aca="false">'Revenue Model'!C17</f>
        <v>13.490568</v>
      </c>
      <c r="D4" s="17" t="n">
        <f aca="false">'Revenue Model'!D17</f>
        <v>28.60000416</v>
      </c>
      <c r="E4" s="17" t="n">
        <f aca="false">'Revenue Model'!E17</f>
        <v>51.480007488</v>
      </c>
      <c r="F4" s="17" t="n">
        <f aca="false">'Revenue Model'!F17</f>
        <v>80.30881168128</v>
      </c>
    </row>
    <row r="5" customFormat="false" ht="18" hidden="false" customHeight="true" outlineLevel="0" collapsed="false">
      <c r="A5" s="3" t="s">
        <v>88</v>
      </c>
      <c r="B5" s="18" t="n">
        <f aca="false">B4*Assumptions!$B$22</f>
        <v>1.25911968</v>
      </c>
      <c r="C5" s="18" t="n">
        <f aca="false">C4*Assumptions!$B$22</f>
        <v>3.77735904</v>
      </c>
      <c r="D5" s="18" t="n">
        <f aca="false">D4*Assumptions!$B$22</f>
        <v>8.0080011648</v>
      </c>
      <c r="E5" s="18" t="n">
        <f aca="false">E4*Assumptions!$B$22</f>
        <v>14.41440209664</v>
      </c>
      <c r="F5" s="18" t="n">
        <f aca="false">F4*Assumptions!$B$22</f>
        <v>22.4864672707584</v>
      </c>
    </row>
    <row r="6" customFormat="false" ht="18" hidden="false" customHeight="true" outlineLevel="0" collapsed="false">
      <c r="A6" s="21" t="s">
        <v>89</v>
      </c>
      <c r="B6" s="22" t="n">
        <f aca="false">B4-B5</f>
        <v>3.23773632</v>
      </c>
      <c r="C6" s="22" t="n">
        <f aca="false">C4-C5</f>
        <v>9.71320896</v>
      </c>
      <c r="D6" s="22" t="n">
        <f aca="false">D4-D5</f>
        <v>20.5920029952</v>
      </c>
      <c r="E6" s="22" t="n">
        <f aca="false">E4-E5</f>
        <v>37.06560539136</v>
      </c>
      <c r="F6" s="22" t="n">
        <f aca="false">F4-F5</f>
        <v>57.8223444105216</v>
      </c>
    </row>
    <row r="7" customFormat="false" ht="18" hidden="false" customHeight="true" outlineLevel="0" collapsed="false">
      <c r="A7" s="3" t="s">
        <v>90</v>
      </c>
      <c r="B7" s="23" t="n">
        <f aca="false">IF(B4=0,0,B6/B4)</f>
        <v>0.72</v>
      </c>
      <c r="C7" s="23" t="n">
        <f aca="false">IF(C4=0,0,C6/C4)</f>
        <v>0.72</v>
      </c>
      <c r="D7" s="23" t="n">
        <f aca="false">IF(D4=0,0,D6/D4)</f>
        <v>0.72</v>
      </c>
      <c r="E7" s="23" t="n">
        <f aca="false">IF(E4=0,0,E6/E4)</f>
        <v>0.72</v>
      </c>
      <c r="F7" s="23" t="n">
        <f aca="false">IF(F4=0,0,F6/F4)</f>
        <v>0.72</v>
      </c>
    </row>
    <row r="8" customFormat="false" ht="18" hidden="false" customHeight="true" outlineLevel="0" collapsed="false">
      <c r="A8" s="12" t="s">
        <v>91</v>
      </c>
      <c r="B8" s="17" t="n">
        <f aca="false">Assumptions!B20</f>
        <v>8.2</v>
      </c>
      <c r="C8" s="17" t="n">
        <f aca="false">B8*(1+Assumptions!$B$21)</f>
        <v>9.84</v>
      </c>
      <c r="D8" s="17" t="n">
        <f aca="false">C8*(1+Assumptions!$B$21)</f>
        <v>11.808</v>
      </c>
      <c r="E8" s="17" t="n">
        <f aca="false">D8*(1+Assumptions!$B$21)</f>
        <v>14.1696</v>
      </c>
      <c r="F8" s="17" t="n">
        <f aca="false">E8*(1+Assumptions!$B$21)</f>
        <v>17.00352</v>
      </c>
    </row>
    <row r="9" customFormat="false" ht="18" hidden="false" customHeight="true" outlineLevel="0" collapsed="false">
      <c r="A9" s="19" t="s">
        <v>92</v>
      </c>
      <c r="B9" s="20" t="n">
        <f aca="false">B6-B8</f>
        <v>-4.96226368</v>
      </c>
      <c r="C9" s="20" t="n">
        <f aca="false">C6-C8</f>
        <v>-0.126791039999997</v>
      </c>
      <c r="D9" s="20" t="n">
        <f aca="false">D6-D8</f>
        <v>8.7840029952</v>
      </c>
      <c r="E9" s="20" t="n">
        <f aca="false">E6-E8</f>
        <v>22.89600539136</v>
      </c>
      <c r="F9" s="20" t="n">
        <f aca="false">F6-F8</f>
        <v>40.8188244105216</v>
      </c>
    </row>
    <row r="10" customFormat="false" ht="18" hidden="false" customHeight="true" outlineLevel="0" collapsed="false">
      <c r="A10" s="12" t="s">
        <v>93</v>
      </c>
      <c r="B10" s="24" t="n">
        <f aca="false">IF(B4=0,0,B9/B4)</f>
        <v>-1.10349623826069</v>
      </c>
      <c r="C10" s="24" t="n">
        <f aca="false">IF(C4=0,0,C9/C4)</f>
        <v>-0.00939849530427458</v>
      </c>
      <c r="D10" s="24" t="n">
        <f aca="false">IF(D4=0,0,D9/D4)</f>
        <v>0.30713292718626</v>
      </c>
      <c r="E10" s="24" t="n">
        <f aca="false">IF(E4=0,0,E9/E4)</f>
        <v>0.44475528479084</v>
      </c>
      <c r="F10" s="24" t="n">
        <f aca="false">IF(F4=0,0,F9/F4)</f>
        <v>0.508273295992954</v>
      </c>
    </row>
    <row r="11" customFormat="false" ht="18" hidden="false" customHeight="true" outlineLevel="0" collapsed="false">
      <c r="A11" s="3" t="s">
        <v>94</v>
      </c>
      <c r="B11" s="18" t="n">
        <f aca="false">B4*0.05</f>
        <v>0.2248428</v>
      </c>
      <c r="C11" s="18" t="n">
        <f aca="false">C4*0.05</f>
        <v>0.6745284</v>
      </c>
      <c r="D11" s="18" t="n">
        <f aca="false">D4*0.05</f>
        <v>1.430000208</v>
      </c>
      <c r="E11" s="18" t="n">
        <f aca="false">E4*0.05</f>
        <v>2.5740003744</v>
      </c>
      <c r="F11" s="18" t="n">
        <f aca="false">F4*0.05</f>
        <v>4.015440584064</v>
      </c>
    </row>
    <row r="12" customFormat="false" ht="18" hidden="false" customHeight="true" outlineLevel="0" collapsed="false">
      <c r="A12" s="21" t="s">
        <v>95</v>
      </c>
      <c r="B12" s="22" t="n">
        <f aca="false">B9-B11</f>
        <v>-5.18710648</v>
      </c>
      <c r="C12" s="22" t="n">
        <f aca="false">C9-C11</f>
        <v>-0.801319439999997</v>
      </c>
      <c r="D12" s="22" t="n">
        <f aca="false">D9-D11</f>
        <v>7.3540027872</v>
      </c>
      <c r="E12" s="22" t="n">
        <f aca="false">E9-E11</f>
        <v>20.32200501696</v>
      </c>
      <c r="F12" s="22" t="n">
        <f aca="false">F9-F11</f>
        <v>36.8033838264576</v>
      </c>
    </row>
    <row r="13" customFormat="false" ht="18" hidden="false" customHeight="true" outlineLevel="0" collapsed="false">
      <c r="A13" s="3" t="s">
        <v>96</v>
      </c>
      <c r="B13" s="18" t="n">
        <f aca="false">MAX(0,B12*Assumptions!$B$31)</f>
        <v>0</v>
      </c>
      <c r="C13" s="18" t="n">
        <f aca="false">MAX(0,C12*Assumptions!$B$31)</f>
        <v>0</v>
      </c>
      <c r="D13" s="18" t="n">
        <f aca="false">MAX(0,D12*Assumptions!$B$31)</f>
        <v>1.544340585312</v>
      </c>
      <c r="E13" s="18" t="n">
        <f aca="false">MAX(0,E12*Assumptions!$B$31)</f>
        <v>4.2676210535616</v>
      </c>
      <c r="F13" s="18" t="n">
        <f aca="false">MAX(0,F12*Assumptions!$B$31)</f>
        <v>7.7287106035561</v>
      </c>
    </row>
    <row r="14" customFormat="false" ht="18" hidden="false" customHeight="true" outlineLevel="0" collapsed="false">
      <c r="A14" s="21" t="s">
        <v>97</v>
      </c>
      <c r="B14" s="22" t="n">
        <f aca="false">B12-B13</f>
        <v>-5.18710648</v>
      </c>
      <c r="C14" s="22" t="n">
        <f aca="false">C12-C13</f>
        <v>-0.801319439999997</v>
      </c>
      <c r="D14" s="22" t="n">
        <f aca="false">D12-D13</f>
        <v>5.809662201888</v>
      </c>
      <c r="E14" s="22" t="n">
        <f aca="false">E12-E13</f>
        <v>16.0543839633984</v>
      </c>
      <c r="F14" s="22" t="n">
        <f aca="false">F12-F13</f>
        <v>29.0746732229015</v>
      </c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</row>
    <row r="16" customFormat="false" ht="18" hidden="false" customHeight="true" outlineLevel="0" collapsed="false">
      <c r="A16" s="2" t="s">
        <v>98</v>
      </c>
      <c r="B16" s="2"/>
      <c r="C16" s="2"/>
      <c r="D16" s="2"/>
      <c r="E16" s="2"/>
      <c r="F16" s="2"/>
    </row>
    <row r="17" customFormat="false" ht="18" hidden="false" customHeight="true" outlineLevel="0" collapsed="false">
      <c r="A17" s="3" t="s">
        <v>97</v>
      </c>
      <c r="B17" s="18" t="n">
        <f aca="false">B14</f>
        <v>-5.18710648</v>
      </c>
      <c r="C17" s="18" t="n">
        <f aca="false">C14</f>
        <v>-0.801319439999997</v>
      </c>
      <c r="D17" s="18" t="n">
        <f aca="false">D14</f>
        <v>5.809662201888</v>
      </c>
      <c r="E17" s="18" t="n">
        <f aca="false">E14</f>
        <v>16.0543839633984</v>
      </c>
      <c r="F17" s="18" t="n">
        <f aca="false">F14</f>
        <v>29.0746732229015</v>
      </c>
    </row>
    <row r="18" customFormat="false" ht="18" hidden="false" customHeight="true" outlineLevel="0" collapsed="false">
      <c r="A18" s="12" t="s">
        <v>99</v>
      </c>
      <c r="B18" s="17" t="n">
        <f aca="false">B11</f>
        <v>0.2248428</v>
      </c>
      <c r="C18" s="17" t="n">
        <f aca="false">C11</f>
        <v>0.6745284</v>
      </c>
      <c r="D18" s="17" t="n">
        <f aca="false">D11</f>
        <v>1.430000208</v>
      </c>
      <c r="E18" s="17" t="n">
        <f aca="false">E11</f>
        <v>2.5740003744</v>
      </c>
      <c r="F18" s="17" t="n">
        <f aca="false">F11</f>
        <v>4.015440584064</v>
      </c>
    </row>
    <row r="19" customFormat="false" ht="18" hidden="false" customHeight="true" outlineLevel="0" collapsed="false">
      <c r="A19" s="3" t="s">
        <v>100</v>
      </c>
      <c r="B19" s="18" t="n">
        <f aca="false">Assumptions!B23</f>
        <v>1.5</v>
      </c>
      <c r="C19" s="18" t="n">
        <f aca="false">B19*(1+Assumptions!$B$24)</f>
        <v>1.65</v>
      </c>
      <c r="D19" s="18" t="n">
        <f aca="false">C19*(1+Assumptions!$B$24)</f>
        <v>1.815</v>
      </c>
      <c r="E19" s="18" t="n">
        <f aca="false">D19*(1+Assumptions!$B$24)</f>
        <v>1.9965</v>
      </c>
      <c r="F19" s="18" t="n">
        <f aca="false">E19*(1+Assumptions!$B$24)</f>
        <v>2.19615</v>
      </c>
    </row>
    <row r="20" customFormat="false" ht="18" hidden="false" customHeight="true" outlineLevel="0" collapsed="false">
      <c r="A20" s="12" t="s">
        <v>101</v>
      </c>
      <c r="B20" s="17" t="n">
        <f aca="false">B4*Assumptions!$B$25</f>
        <v>0.08993712</v>
      </c>
      <c r="C20" s="17" t="n">
        <f aca="false">C4*Assumptions!$B$25</f>
        <v>0.26981136</v>
      </c>
      <c r="D20" s="17" t="n">
        <f aca="false">D4*Assumptions!$B$25</f>
        <v>0.5720000832</v>
      </c>
      <c r="E20" s="17" t="n">
        <f aca="false">E4*Assumptions!$B$25</f>
        <v>1.02960014976</v>
      </c>
      <c r="F20" s="17" t="n">
        <f aca="false">F4*Assumptions!$B$25</f>
        <v>1.6061762336256</v>
      </c>
    </row>
    <row r="21" customFormat="false" ht="18" hidden="false" customHeight="true" outlineLevel="0" collapsed="false">
      <c r="A21" s="19" t="s">
        <v>102</v>
      </c>
      <c r="B21" s="20" t="n">
        <f aca="false">B17+B18-B19-B20</f>
        <v>-6.5522008</v>
      </c>
      <c r="C21" s="20" t="n">
        <f aca="false">C17+C18-C19-C20</f>
        <v>-2.0466024</v>
      </c>
      <c r="D21" s="20" t="n">
        <f aca="false">D17+D18-D19-D20</f>
        <v>4.852662326688</v>
      </c>
      <c r="E21" s="20" t="n">
        <f aca="false">E17+E18-E19-E20</f>
        <v>15.6022841880384</v>
      </c>
      <c r="F21" s="20" t="n">
        <f aca="false">F17+F18-F19-F20</f>
        <v>29.2877875733399</v>
      </c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</row>
    <row r="23" customFormat="false" ht="18" hidden="false" customHeight="true" outlineLevel="0" collapsed="false">
      <c r="A23" s="2" t="s">
        <v>103</v>
      </c>
      <c r="B23" s="2"/>
      <c r="C23" s="2"/>
      <c r="D23" s="2"/>
      <c r="E23" s="2"/>
      <c r="F23" s="2"/>
    </row>
    <row r="24" customFormat="false" ht="18" hidden="false" customHeight="true" outlineLevel="0" collapsed="false">
      <c r="A24" s="12" t="s">
        <v>104</v>
      </c>
      <c r="B24" s="24" t="n">
        <f aca="false">Assumptions!B28+Assumptions!B30*Assumptions!B29</f>
        <v>0.120775</v>
      </c>
      <c r="C24" s="24" t="n">
        <f aca="false">Assumptions!B28+Assumptions!B30*Assumptions!B29</f>
        <v>0.120775</v>
      </c>
      <c r="D24" s="24" t="n">
        <f aca="false">Assumptions!B28+Assumptions!B30*Assumptions!B29</f>
        <v>0.120775</v>
      </c>
      <c r="E24" s="24" t="n">
        <f aca="false">Assumptions!B28+Assumptions!B30*Assumptions!B29</f>
        <v>0.120775</v>
      </c>
      <c r="F24" s="24" t="n">
        <f aca="false">Assumptions!B28+Assumptions!B30*Assumptions!B29</f>
        <v>0.120775</v>
      </c>
    </row>
    <row r="25" customFormat="false" ht="18" hidden="false" customHeight="true" outlineLevel="0" collapsed="false">
      <c r="A25" s="3" t="s">
        <v>105</v>
      </c>
      <c r="B25" s="25" t="n">
        <v>1</v>
      </c>
      <c r="C25" s="25" t="n">
        <v>2</v>
      </c>
      <c r="D25" s="25" t="n">
        <v>3</v>
      </c>
      <c r="E25" s="25" t="n">
        <v>4</v>
      </c>
      <c r="F25" s="25" t="n">
        <v>5</v>
      </c>
    </row>
    <row r="26" customFormat="false" ht="18" hidden="false" customHeight="true" outlineLevel="0" collapsed="false">
      <c r="A26" s="12" t="s">
        <v>106</v>
      </c>
      <c r="B26" s="26" t="n">
        <f aca="false">1/(1+B24)^B25</f>
        <v>0.892239744819433</v>
      </c>
      <c r="C26" s="26" t="n">
        <f aca="false">1/(1+C24)^C25</f>
        <v>0.796091762235447</v>
      </c>
      <c r="D26" s="26" t="n">
        <f aca="false">1/(1+D24)^D25</f>
        <v>0.710304710789808</v>
      </c>
      <c r="E26" s="26" t="n">
        <f aca="false">1/(1+E24)^E25</f>
        <v>0.633762093899139</v>
      </c>
      <c r="F26" s="26" t="n">
        <f aca="false">1/(1+F24)^F25</f>
        <v>0.565467728936797</v>
      </c>
    </row>
    <row r="27" customFormat="false" ht="18" hidden="false" customHeight="true" outlineLevel="0" collapsed="false">
      <c r="A27" s="19" t="s">
        <v>107</v>
      </c>
      <c r="B27" s="20" t="n">
        <f aca="false">B21*B26</f>
        <v>-5.84613396979768</v>
      </c>
      <c r="C27" s="20" t="n">
        <f aca="false">C21*C26</f>
        <v>-1.62928331121129</v>
      </c>
      <c r="D27" s="20" t="n">
        <f aca="false">D21*D26</f>
        <v>3.44686891051872</v>
      </c>
      <c r="E27" s="20" t="n">
        <f aca="false">E21*E26</f>
        <v>9.88813629662065</v>
      </c>
      <c r="F27" s="20" t="n">
        <f aca="false">F21*F26</f>
        <v>16.5612987246799</v>
      </c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</row>
    <row r="29" customFormat="false" ht="18" hidden="false" customHeight="true" outlineLevel="0" collapsed="false">
      <c r="A29" s="2" t="s">
        <v>108</v>
      </c>
      <c r="B29" s="2"/>
      <c r="C29" s="2"/>
      <c r="D29" s="2"/>
      <c r="E29" s="2"/>
      <c r="F29" s="2"/>
    </row>
    <row r="30" customFormat="false" ht="18" hidden="false" customHeight="true" outlineLevel="0" collapsed="false">
      <c r="A30" s="3" t="s">
        <v>109</v>
      </c>
      <c r="B30" s="18" t="n">
        <f aca="false">SUM(B27:F27)</f>
        <v>22.4208866508103</v>
      </c>
      <c r="C30" s="8"/>
      <c r="D30" s="8"/>
      <c r="E30" s="8"/>
      <c r="F30" s="8"/>
    </row>
    <row r="31" customFormat="false" ht="18" hidden="false" customHeight="true" outlineLevel="0" collapsed="false">
      <c r="A31" s="3" t="s">
        <v>110</v>
      </c>
      <c r="B31" s="18" t="n">
        <f aca="false">F21*(1+Assumptions!B32)</f>
        <v>30.4592990762735</v>
      </c>
      <c r="C31" s="8"/>
      <c r="D31" s="8"/>
      <c r="E31" s="8"/>
      <c r="F31" s="8"/>
    </row>
    <row r="32" customFormat="false" ht="18" hidden="false" customHeight="true" outlineLevel="0" collapsed="false">
      <c r="A32" s="3" t="s">
        <v>111</v>
      </c>
      <c r="B32" s="18" t="n">
        <f aca="false">B31/(B24-Assumptions!B32)</f>
        <v>377.088196549347</v>
      </c>
      <c r="C32" s="8"/>
      <c r="D32" s="8"/>
      <c r="E32" s="8"/>
      <c r="F32" s="8"/>
    </row>
    <row r="33" customFormat="false" ht="18" hidden="false" customHeight="true" outlineLevel="0" collapsed="false">
      <c r="A33" s="3" t="s">
        <v>112</v>
      </c>
      <c r="B33" s="18" t="n">
        <f aca="false">B32/(1+B24)^5</f>
        <v>213.231206111632</v>
      </c>
      <c r="C33" s="8"/>
      <c r="D33" s="8"/>
      <c r="E33" s="8"/>
      <c r="F33" s="8"/>
    </row>
    <row r="34" customFormat="false" ht="18" hidden="false" customHeight="true" outlineLevel="0" collapsed="false">
      <c r="A34" s="27" t="s">
        <v>113</v>
      </c>
      <c r="B34" s="28" t="n">
        <f aca="false">B30+B33</f>
        <v>235.652092762442</v>
      </c>
      <c r="C34" s="8"/>
      <c r="D34" s="8"/>
      <c r="E34" s="8"/>
      <c r="F34" s="8"/>
    </row>
    <row r="35" customFormat="false" ht="18" hidden="false" customHeight="true" outlineLevel="0" collapsed="false">
      <c r="A35" s="3" t="s">
        <v>53</v>
      </c>
      <c r="B35" s="18" t="n">
        <f aca="false">Assumptions!B34</f>
        <v>45</v>
      </c>
      <c r="C35" s="8"/>
      <c r="D35" s="8"/>
      <c r="E35" s="8"/>
      <c r="F35" s="8"/>
    </row>
    <row r="36" customFormat="false" ht="18" hidden="false" customHeight="true" outlineLevel="0" collapsed="false">
      <c r="A36" s="3" t="s">
        <v>51</v>
      </c>
      <c r="B36" s="18" t="n">
        <f aca="false">Assumptions!B33</f>
        <v>15</v>
      </c>
      <c r="C36" s="8"/>
      <c r="D36" s="8"/>
      <c r="E36" s="8"/>
      <c r="F36" s="8"/>
    </row>
    <row r="37" customFormat="false" ht="18" hidden="false" customHeight="true" outlineLevel="0" collapsed="false">
      <c r="A37" s="27" t="s">
        <v>114</v>
      </c>
      <c r="B37" s="28" t="n">
        <f aca="false">B35+B36</f>
        <v>60</v>
      </c>
      <c r="C37" s="8"/>
      <c r="D37" s="8"/>
      <c r="E37" s="8"/>
      <c r="F37" s="8"/>
    </row>
    <row r="38" customFormat="false" ht="18" hidden="false" customHeight="true" outlineLevel="0" collapsed="false">
      <c r="A38" s="19" t="s">
        <v>115</v>
      </c>
      <c r="B38" s="23" t="n">
        <f aca="false">B36/B37</f>
        <v>0.25</v>
      </c>
      <c r="C38" s="8"/>
      <c r="D38" s="8"/>
      <c r="E38" s="8"/>
      <c r="F38" s="8"/>
    </row>
  </sheetData>
  <mergeCells count="5">
    <mergeCell ref="A1:F1"/>
    <mergeCell ref="A3:F3"/>
    <mergeCell ref="A16:F16"/>
    <mergeCell ref="A23:F23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4"/>
  </cols>
  <sheetData>
    <row r="1" customFormat="false" ht="25.5" hidden="false" customHeight="true" outlineLevel="0" collapsed="false">
      <c r="A1" s="9" t="s">
        <v>116</v>
      </c>
      <c r="B1" s="9"/>
      <c r="C1" s="9"/>
      <c r="D1" s="9"/>
      <c r="E1" s="9"/>
      <c r="F1" s="9"/>
      <c r="G1" s="9"/>
    </row>
    <row r="2" customFormat="false" ht="18" hidden="false" customHeight="true" outlineLevel="0" collapsed="false">
      <c r="A2" s="29" t="s">
        <v>117</v>
      </c>
      <c r="B2" s="29" t="s">
        <v>118</v>
      </c>
      <c r="C2" s="29" t="s">
        <v>119</v>
      </c>
      <c r="D2" s="29" t="s">
        <v>120</v>
      </c>
      <c r="E2" s="29" t="s">
        <v>47</v>
      </c>
      <c r="F2" s="29" t="s">
        <v>121</v>
      </c>
      <c r="G2" s="29" t="s">
        <v>122</v>
      </c>
    </row>
    <row r="3" customFormat="false" ht="18" hidden="false" customHeight="true" outlineLevel="0" collapsed="false">
      <c r="A3" s="3" t="s">
        <v>123</v>
      </c>
      <c r="B3" s="30" t="n">
        <v>168</v>
      </c>
      <c r="C3" s="30" t="n">
        <v>174</v>
      </c>
      <c r="D3" s="31" t="n">
        <v>0.25</v>
      </c>
      <c r="E3" s="31" t="n">
        <v>0.21</v>
      </c>
      <c r="F3" s="32" t="n">
        <v>1.25</v>
      </c>
      <c r="G3" s="33" t="n">
        <f aca="false">F3/(1+(1-E3)*D3)</f>
        <v>1.04384133611691</v>
      </c>
    </row>
    <row r="4" customFormat="false" ht="18" hidden="false" customHeight="true" outlineLevel="0" collapsed="false">
      <c r="A4" s="12" t="s">
        <v>124</v>
      </c>
      <c r="B4" s="34" t="n">
        <v>40</v>
      </c>
      <c r="C4" s="34" t="n">
        <v>38</v>
      </c>
      <c r="D4" s="35" t="n">
        <v>0.35</v>
      </c>
      <c r="E4" s="35" t="n">
        <v>0.21</v>
      </c>
      <c r="F4" s="36" t="n">
        <v>2.15</v>
      </c>
      <c r="G4" s="37" t="n">
        <f aca="false">F4/(1+(1-E4)*D4)</f>
        <v>1.68429298864081</v>
      </c>
    </row>
    <row r="5" customFormat="false" ht="18" hidden="false" customHeight="true" outlineLevel="0" collapsed="false">
      <c r="A5" s="3" t="s">
        <v>125</v>
      </c>
      <c r="B5" s="30" t="n">
        <v>68</v>
      </c>
      <c r="C5" s="30" t="n">
        <v>71</v>
      </c>
      <c r="D5" s="31" t="n">
        <v>0.28</v>
      </c>
      <c r="E5" s="31" t="n">
        <v>0.21</v>
      </c>
      <c r="F5" s="32" t="n">
        <v>1.4</v>
      </c>
      <c r="G5" s="33" t="n">
        <f aca="false">F5/(1+(1-E5)*D5)</f>
        <v>1.14641336390436</v>
      </c>
    </row>
    <row r="6" customFormat="false" ht="18" hidden="false" customHeight="true" outlineLevel="0" collapsed="false">
      <c r="A6" s="12" t="s">
        <v>126</v>
      </c>
      <c r="B6" s="34" t="n">
        <v>22</v>
      </c>
      <c r="C6" s="34" t="n">
        <v>20</v>
      </c>
      <c r="D6" s="35" t="n">
        <v>0.08</v>
      </c>
      <c r="E6" s="35" t="n">
        <v>0.21</v>
      </c>
      <c r="F6" s="36" t="n">
        <v>2.3</v>
      </c>
      <c r="G6" s="37" t="n">
        <f aca="false">F6/(1+(1-E6)*D6)</f>
        <v>2.16328066215199</v>
      </c>
    </row>
    <row r="7" customFormat="false" ht="18" hidden="false" customHeight="true" outlineLevel="0" collapsed="false">
      <c r="A7" s="38" t="s">
        <v>127</v>
      </c>
      <c r="B7" s="39"/>
      <c r="C7" s="39"/>
      <c r="D7" s="39"/>
      <c r="E7" s="39"/>
      <c r="F7" s="39"/>
      <c r="G7" s="40" t="n">
        <f aca="false">AVERAGE(G3:G6)</f>
        <v>1.50945708770352</v>
      </c>
    </row>
    <row r="8" customFormat="false" ht="18" hidden="false" customHeight="true" outlineLevel="0" collapsed="false">
      <c r="A8" s="41" t="s">
        <v>128</v>
      </c>
      <c r="B8" s="41"/>
      <c r="C8" s="41"/>
      <c r="D8" s="41"/>
      <c r="E8" s="41"/>
      <c r="F8" s="41"/>
      <c r="G8" s="42" t="n">
        <f aca="false">Assumptions!B30</f>
        <v>1.75</v>
      </c>
    </row>
    <row r="10" customFormat="false" ht="15" hidden="false" customHeight="false" outlineLevel="0" collapsed="false">
      <c r="A10" s="43" t="s">
        <v>129</v>
      </c>
    </row>
    <row r="11" customFormat="false" ht="15" hidden="false" customHeight="false" outlineLevel="0" collapsed="false">
      <c r="A11" s="43" t="s">
        <v>130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36"/>
  </cols>
  <sheetData>
    <row r="1" customFormat="false" ht="25.5" hidden="false" customHeight="true" outlineLevel="0" collapsed="false">
      <c r="A1" s="9" t="s">
        <v>131</v>
      </c>
      <c r="B1" s="9"/>
      <c r="C1" s="9"/>
    </row>
    <row r="3" customFormat="false" ht="18" hidden="false" customHeight="true" outlineLevel="0" collapsed="false">
      <c r="A3" s="2" t="s">
        <v>132</v>
      </c>
      <c r="B3" s="2"/>
      <c r="C3" s="2"/>
    </row>
    <row r="4" customFormat="false" ht="18" hidden="false" customHeight="true" outlineLevel="0" collapsed="false">
      <c r="A4" s="12" t="s">
        <v>41</v>
      </c>
      <c r="B4" s="24" t="n">
        <f aca="false">Assumptions!B28</f>
        <v>0.045</v>
      </c>
      <c r="C4" s="44" t="s">
        <v>133</v>
      </c>
    </row>
    <row r="5" customFormat="false" ht="18" hidden="false" customHeight="true" outlineLevel="0" collapsed="false">
      <c r="A5" s="3" t="s">
        <v>134</v>
      </c>
      <c r="B5" s="23" t="n">
        <f aca="false">Assumptions!B29</f>
        <v>0.0433</v>
      </c>
      <c r="C5" s="5" t="s">
        <v>135</v>
      </c>
    </row>
    <row r="6" customFormat="false" ht="18" hidden="false" customHeight="true" outlineLevel="0" collapsed="false">
      <c r="A6" s="12" t="s">
        <v>136</v>
      </c>
      <c r="B6" s="37" t="n">
        <f aca="false">Assumptions!B30</f>
        <v>1.75</v>
      </c>
      <c r="C6" s="44" t="s">
        <v>137</v>
      </c>
    </row>
    <row r="7" customFormat="false" ht="18" hidden="false" customHeight="true" outlineLevel="0" collapsed="false">
      <c r="A7" s="19" t="s">
        <v>138</v>
      </c>
      <c r="B7" s="45" t="n">
        <f aca="false">B4+B6*B5</f>
        <v>0.120775</v>
      </c>
      <c r="C7" s="5" t="s">
        <v>139</v>
      </c>
    </row>
    <row r="8" customFormat="false" ht="18" hidden="false" customHeight="true" outlineLevel="0" collapsed="false">
      <c r="A8" s="21" t="s">
        <v>140</v>
      </c>
      <c r="B8" s="46" t="n">
        <f aca="false">B7</f>
        <v>0.120775</v>
      </c>
      <c r="C8" s="44" t="s">
        <v>141</v>
      </c>
    </row>
    <row r="9" customFormat="false" ht="15" hidden="false" customHeight="false" outlineLevel="0" collapsed="false">
      <c r="A9" s="8"/>
      <c r="B9" s="8"/>
      <c r="C9" s="8"/>
    </row>
    <row r="10" customFormat="false" ht="18" hidden="false" customHeight="true" outlineLevel="0" collapsed="false">
      <c r="A10" s="2" t="s">
        <v>142</v>
      </c>
      <c r="B10" s="2"/>
      <c r="C10" s="2"/>
    </row>
    <row r="11" customFormat="false" ht="18" hidden="false" customHeight="true" outlineLevel="0" collapsed="false">
      <c r="A11" s="3" t="s">
        <v>143</v>
      </c>
      <c r="B11" s="7" t="n">
        <v>0.105</v>
      </c>
      <c r="C11" s="5" t="s">
        <v>144</v>
      </c>
    </row>
    <row r="12" customFormat="false" ht="18" hidden="false" customHeight="true" outlineLevel="0" collapsed="false">
      <c r="A12" s="12" t="s">
        <v>145</v>
      </c>
      <c r="B12" s="35" t="n">
        <v>0.118</v>
      </c>
      <c r="C12" s="44" t="s">
        <v>144</v>
      </c>
    </row>
    <row r="13" customFormat="false" ht="18" hidden="false" customHeight="true" outlineLevel="0" collapsed="false">
      <c r="A13" s="3" t="s">
        <v>146</v>
      </c>
      <c r="B13" s="7" t="n">
        <v>0.082</v>
      </c>
      <c r="C13" s="5" t="s">
        <v>144</v>
      </c>
    </row>
    <row r="14" customFormat="false" ht="18" hidden="false" customHeight="true" outlineLevel="0" collapsed="false">
      <c r="A14" s="21" t="s">
        <v>147</v>
      </c>
      <c r="B14" s="46" t="n">
        <f aca="false">B8</f>
        <v>0.120775</v>
      </c>
      <c r="C14" s="44" t="s">
        <v>148</v>
      </c>
    </row>
    <row r="15" customFormat="false" ht="15" hidden="false" customHeight="false" outlineLevel="0" collapsed="false">
      <c r="A15" s="8"/>
      <c r="B15" s="8"/>
      <c r="C15" s="8"/>
    </row>
    <row r="16" customFormat="false" ht="18" hidden="false" customHeight="true" outlineLevel="0" collapsed="false">
      <c r="A16" s="2" t="s">
        <v>149</v>
      </c>
      <c r="B16" s="2"/>
      <c r="C16" s="2"/>
    </row>
    <row r="17" customFormat="false" ht="18" hidden="false" customHeight="true" outlineLevel="0" collapsed="false">
      <c r="A17" s="3" t="s">
        <v>49</v>
      </c>
      <c r="B17" s="23" t="n">
        <f aca="false">Assumptions!B32</f>
        <v>0.04</v>
      </c>
      <c r="C17" s="5" t="s">
        <v>150</v>
      </c>
    </row>
    <row r="18" customFormat="false" ht="18" hidden="false" customHeight="true" outlineLevel="0" collapsed="false">
      <c r="A18" s="12" t="s">
        <v>151</v>
      </c>
      <c r="B18" s="36" t="n">
        <v>5</v>
      </c>
      <c r="C18" s="44" t="s">
        <v>152</v>
      </c>
    </row>
    <row r="19" customFormat="false" ht="18" hidden="false" customHeight="true" outlineLevel="0" collapsed="false">
      <c r="A19" s="3" t="s">
        <v>153</v>
      </c>
      <c r="B19" s="47" t="n">
        <v>4</v>
      </c>
      <c r="C19" s="5" t="s">
        <v>154</v>
      </c>
    </row>
    <row r="21" customFormat="false" ht="15" hidden="false" customHeight="false" outlineLevel="0" collapsed="false">
      <c r="A21" s="48" t="s">
        <v>155</v>
      </c>
    </row>
    <row r="22" customFormat="false" ht="15" hidden="false" customHeight="false" outlineLevel="0" collapsed="false">
      <c r="A22" s="43" t="s">
        <v>156</v>
      </c>
    </row>
  </sheetData>
  <mergeCells count="4">
    <mergeCell ref="A1:C1"/>
    <mergeCell ref="A3:C3"/>
    <mergeCell ref="A10:C10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6"/>
  </cols>
  <sheetData>
    <row r="1" customFormat="false" ht="25.5" hidden="false" customHeight="true" outlineLevel="0" collapsed="false">
      <c r="A1" s="9" t="s">
        <v>157</v>
      </c>
      <c r="B1" s="9"/>
      <c r="C1" s="9"/>
      <c r="D1" s="9"/>
      <c r="E1" s="9"/>
      <c r="F1" s="9"/>
    </row>
    <row r="2" customFormat="false" ht="18" hidden="false" customHeight="true" outlineLevel="0" collapsed="false">
      <c r="A2" s="29" t="s">
        <v>158</v>
      </c>
      <c r="B2" s="29" t="s">
        <v>159</v>
      </c>
      <c r="C2" s="29" t="s">
        <v>160</v>
      </c>
      <c r="D2" s="29" t="s">
        <v>161</v>
      </c>
      <c r="E2" s="29" t="s">
        <v>162</v>
      </c>
      <c r="F2" s="29" t="s">
        <v>163</v>
      </c>
    </row>
    <row r="3" customFormat="false" ht="18" hidden="false" customHeight="true" outlineLevel="0" collapsed="false">
      <c r="A3" s="3" t="s">
        <v>164</v>
      </c>
      <c r="B3" s="49" t="n">
        <v>7500</v>
      </c>
      <c r="C3" s="23" t="n">
        <f aca="false">B3/SUM($B$3:$B$5)</f>
        <v>0.75</v>
      </c>
      <c r="D3" s="49" t="n">
        <v>0</v>
      </c>
      <c r="E3" s="50" t="n">
        <f aca="false">B3+D3</f>
        <v>7500</v>
      </c>
      <c r="F3" s="23" t="n">
        <f aca="false">E3/SUM($E$3:$E$5)</f>
        <v>0.562514062851571</v>
      </c>
    </row>
    <row r="4" customFormat="false" ht="18" hidden="false" customHeight="true" outlineLevel="0" collapsed="false">
      <c r="A4" s="12" t="s">
        <v>165</v>
      </c>
      <c r="B4" s="51" t="n">
        <v>2500</v>
      </c>
      <c r="C4" s="24" t="n">
        <f aca="false">B4/SUM($B$3:$B$5)</f>
        <v>0.25</v>
      </c>
      <c r="D4" s="51" t="n">
        <v>0</v>
      </c>
      <c r="E4" s="52" t="n">
        <f aca="false">B4+D4</f>
        <v>2500</v>
      </c>
      <c r="F4" s="24" t="n">
        <f aca="false">E4/SUM($E$3:$E$5)</f>
        <v>0.18750468761719</v>
      </c>
    </row>
    <row r="5" customFormat="false" ht="18" hidden="false" customHeight="true" outlineLevel="0" collapsed="false">
      <c r="A5" s="3" t="s">
        <v>166</v>
      </c>
      <c r="B5" s="49" t="n">
        <v>0</v>
      </c>
      <c r="C5" s="23" t="n">
        <f aca="false">B5/SUM($B$3:$B$5)</f>
        <v>0</v>
      </c>
      <c r="D5" s="49" t="n">
        <v>3333</v>
      </c>
      <c r="E5" s="50" t="n">
        <f aca="false">B5+D5</f>
        <v>3333</v>
      </c>
      <c r="F5" s="23" t="n">
        <f aca="false">E5/SUM($E$3:$E$5)</f>
        <v>0.249981249531238</v>
      </c>
    </row>
    <row r="6" customFormat="false" ht="18" hidden="false" customHeight="true" outlineLevel="0" collapsed="false">
      <c r="A6" s="41" t="s">
        <v>167</v>
      </c>
      <c r="B6" s="53" t="n">
        <f aca="false">SUM(B3:B5)</f>
        <v>10000</v>
      </c>
      <c r="C6" s="54" t="n">
        <f aca="false">SUM(C3:C5)</f>
        <v>1</v>
      </c>
      <c r="D6" s="53" t="n">
        <f aca="false">SUM(D3:D5)</f>
        <v>3333</v>
      </c>
      <c r="E6" s="53" t="n">
        <f aca="false">SUM(E3:E5)</f>
        <v>13333</v>
      </c>
      <c r="F6" s="54" t="n">
        <f aca="false">SUM(F3:F5)</f>
        <v>1</v>
      </c>
    </row>
    <row r="7" customFormat="false" ht="15" hidden="false" customHeight="false" outlineLevel="0" collapsed="false">
      <c r="A7" s="8"/>
      <c r="B7" s="8"/>
      <c r="C7" s="8"/>
      <c r="D7" s="8"/>
      <c r="E7" s="8"/>
      <c r="F7" s="8"/>
    </row>
    <row r="8" customFormat="false" ht="15" hidden="false" customHeight="false" outlineLevel="0" collapsed="false">
      <c r="A8" s="2" t="s">
        <v>168</v>
      </c>
      <c r="B8" s="2"/>
      <c r="C8" s="2"/>
      <c r="D8" s="2"/>
      <c r="E8" s="2"/>
      <c r="F8" s="2"/>
    </row>
    <row r="9" customFormat="false" ht="18" hidden="false" customHeight="true" outlineLevel="0" collapsed="false">
      <c r="A9" s="3" t="s">
        <v>53</v>
      </c>
      <c r="B9" s="18" t="n">
        <f aca="false">Assumptions!B34</f>
        <v>45</v>
      </c>
      <c r="C9" s="55" t="s">
        <v>54</v>
      </c>
      <c r="D9" s="8"/>
      <c r="E9" s="8"/>
      <c r="F9" s="8"/>
    </row>
    <row r="10" customFormat="false" ht="18" hidden="false" customHeight="true" outlineLevel="0" collapsed="false">
      <c r="A10" s="12" t="s">
        <v>51</v>
      </c>
      <c r="B10" s="17" t="n">
        <f aca="false">Assumptions!B33</f>
        <v>15</v>
      </c>
      <c r="C10" s="56" t="s">
        <v>52</v>
      </c>
      <c r="D10" s="57"/>
      <c r="E10" s="57"/>
      <c r="F10" s="57"/>
    </row>
    <row r="11" customFormat="false" ht="18" hidden="false" customHeight="true" outlineLevel="0" collapsed="false">
      <c r="A11" s="3" t="s">
        <v>114</v>
      </c>
      <c r="B11" s="18" t="n">
        <f aca="false">Assumptions!B34+Assumptions!B33</f>
        <v>60</v>
      </c>
      <c r="C11" s="55" t="s">
        <v>169</v>
      </c>
      <c r="D11" s="8"/>
      <c r="E11" s="8"/>
      <c r="F11" s="8"/>
    </row>
    <row r="12" customFormat="false" ht="18" hidden="false" customHeight="true" outlineLevel="0" collapsed="false">
      <c r="A12" s="12" t="s">
        <v>170</v>
      </c>
      <c r="B12" s="17" t="n">
        <f aca="false">B9*1000000/SUM(E3:E5)</f>
        <v>3375.08437710943</v>
      </c>
      <c r="C12" s="56" t="s">
        <v>171</v>
      </c>
      <c r="D12" s="57"/>
      <c r="E12" s="57"/>
      <c r="F12" s="57"/>
    </row>
    <row r="13" customFormat="false" ht="18" hidden="false" customHeight="true" outlineLevel="0" collapsed="false">
      <c r="A13" s="3" t="s">
        <v>172</v>
      </c>
      <c r="B13" s="23" t="n">
        <f aca="false">D5/SUM(E3:E5)</f>
        <v>0.249981249531238</v>
      </c>
      <c r="C13" s="55" t="s">
        <v>173</v>
      </c>
      <c r="D13" s="8"/>
      <c r="E13" s="8"/>
      <c r="F13" s="8"/>
    </row>
  </sheetData>
  <mergeCells count="2">
    <mergeCell ref="A1:F1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2026-04-20T21:18:25Z</dcterms:created>
  <dc:creator>openpyxl</dc:creator>
  <dc:description/>
  <dc:language>en-US</dc:language>
  <cp:lastModifiedBy/>
  <dcterms:modified xsi:type="dcterms:W3CDTF">2026-04-20T21:18:25Z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