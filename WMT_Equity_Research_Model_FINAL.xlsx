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ummary" sheetId="1" state="visible" r:id="rId3"/>
    <sheet name="Income Statement" sheetId="2" state="visible" r:id="rId4"/>
    <sheet name="Balance Sheet" sheetId="3" state="visible" r:id="rId5"/>
    <sheet name="Cash Flow Statement" sheetId="4" state="visible" r:id="rId6"/>
    <sheet name="DCF Valuation" sheetId="5" state="visible" r:id="rId7"/>
    <sheet name="Trading Comps" sheetId="6" state="visible" r:id="rId8"/>
    <sheet name="Assump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<sst xmlns="http://schemas.openxmlformats.org/spreadsheetml/2006/main" count="322" uniqueCount="263">
  <si>
    <t xml:space="preserve">WALMART INC. (WMT)</t>
  </si>
  <si>
    <t xml:space="preserve">EQUITY RESEARCH | INITIATING COVERAGE</t>
  </si>
  <si>
    <t xml:space="preserve">Consumer Staples / Mass Merchandise Retail  |  NYSE: WMT</t>
  </si>
  <si>
    <t xml:space="preserve">April 2026  |  Prices as of report date</t>
  </si>
  <si>
    <t xml:space="preserve">OVERWEIGHT</t>
  </si>
  <si>
    <t xml:space="preserve">Price Target</t>
  </si>
  <si>
    <t xml:space="preserve">Current Price (verify)</t>
  </si>
  <si>
    <t xml:space="preserve">Implied Upside</t>
  </si>
  <si>
    <t xml:space="preserve">52-Wk Range (verify)</t>
  </si>
  <si>
    <t xml:space="preserve">$58 - $105</t>
  </si>
  <si>
    <t xml:space="preserve">INVESTMENT THESIS</t>
  </si>
  <si>
    <t xml:space="preserve">1. Margin Expansion Underpriced</t>
  </si>
  <si>
    <t xml:space="preserve">Walmart Connect (advertising), Walmart+, and fulfillment services are structurally higher-margin than core retail. We project operating margin expanding from 4.2% in FY2026 to 6.2% by FY2031. Consensus sits at 4.8%. That 140bps gap is the core variant view.</t>
  </si>
  <si>
    <t xml:space="preserve">2. Advertising Is the Real Story</t>
  </si>
  <si>
    <t xml:space="preserve">Walmart Connect is a $3-4B revenue business growing 20-30% per year at ~70% gross margins. Every incremental dollar of ad revenue is worth 15x more to operating income than a dollar of grocery revenue. Most models do not break this out separately.</t>
  </si>
  <si>
    <t xml:space="preserve">3. Capex Cycle Is Peaking</t>
  </si>
  <si>
    <t xml:space="preserve">Fulfillment capex has been rising from 2% to 3.7% of revenue. We model it peaking in FY2027E and declining to 3.0% by FY2031E. That alone adds $5B+ to annual FCF. The market is pricing in permanent capex intensity, not a peak.</t>
  </si>
  <si>
    <t xml:space="preserve">FINANCIAL SUMMARY ($mm)</t>
  </si>
  <si>
    <t xml:space="preserve">Metric</t>
  </si>
  <si>
    <t xml:space="preserve">FY2024A</t>
  </si>
  <si>
    <t xml:space="preserve">FY2025A</t>
  </si>
  <si>
    <t xml:space="preserve">FY2026A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</si>
  <si>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</si>
  <si>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</si>
  <si>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</si>
  <si>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</si>
  <si>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</si>
  <si>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Revenue</t>
  </si>
  <si>
    <t xml:space="preserve">Gross Profit</t>
  </si>
  <si>
    <t xml:space="preserve">Gross Margin %</t>
  </si>
  <si>
    <t xml:space="preserve">Operating Income</t>
  </si>
  <si>
    <t xml:space="preserve">Op. Margin %</t>
  </si>
  <si>
    <t xml:space="preserve">EBITDA</t>
  </si>
  <si>
    <t xml:space="preserve">EBITDA Margin %</t>
  </si>
  <si>
    <t xml:space="preserve">Net Income</t>
  </si>
  <si>
    <t xml:space="preserve">EPS (Diluted)</t>
  </si>
  <si>
    <t xml:space="preserve">Free Cash Flow</t>
  </si>
  <si>
    <t xml:space="preserve">VALUATION SUMMARY</t>
  </si>
  <si>
    <t xml:space="preserve">DCF Price Target (7.0% WACC, 16x Exit)</t>
  </si>
  <si>
    <t xml:space="preserve">Weight: 70%</t>
  </si>
  <si>
    <t xml:space="preserve">Comps Price Target (50% EV/EBITDA, 50% P/E)</t>
  </si>
  <si>
    <t xml:space="preserve">Weight: 30%</t>
  </si>
  <si>
    <t xml:space="preserve">BLENDED PRICE TARGET  (70% DCF / 30% Comps)</t>
  </si>
  <si>
    <t xml:space="preserve">Current Price (update manually):</t>
  </si>
  <si>
    <t xml:space="preserve">KEY CATALYSTS</t>
  </si>
  <si>
    <t xml:space="preserve">KEY RISKS</t>
  </si>
  <si>
    <t xml:space="preserve">1. Walmart Connect revenue crossing $5B milestone (FY2027E)</t>
  </si>
  <si>
    <t xml:space="preserve">1. Amazon accelerates grocery/retail investment, compressing Walmart's pricing power</t>
  </si>
  <si>
    <t xml:space="preserve">2. Walmart+ subscriber count surpassing 50mm (inflection point for recurring rev)</t>
  </si>
  <si>
    <t xml:space="preserve">2. Consumer trade-down reverses as macro improves (reduces Walmart traffic tailwind)</t>
  </si>
  <si>
    <t xml:space="preserve">3. Quarterly earnings showing operating margin above 4.5% for two consecutive quarters</t>
  </si>
  <si>
    <t xml:space="preserve">3. Advertising revenue growth decelerates if brand spend shifts to social media</t>
  </si>
  <si>
    <t xml:space="preserve">4. Announcement of third-party fulfillment monetization (similar to Amazon FBA)</t>
  </si>
  <si>
    <t xml:space="preserve">4. Execution risk on fulfillment buildout: cost overruns or ROI disappointment</t>
  </si>
  <si>
    <t xml:space="preserve">5. Capex guidance reduction signaling peak of investment cycle</t>
  </si>
  <si>
    <t xml:space="preserve">5. Regulatory risk on data usage for Walmart Connect targeting</t>
  </si>
  <si>
    <t xml:space="preserve">This report is for educational purposes only. All financial data sourced from Macrotrends / public filings. Comp estimates are approximate and should be verified with current market data prior to any use.</t>
  </si>
  <si>
    <t xml:space="preserve">WALMART INC. (WMT) - Income Statement</t>
  </si>
  <si>
    <t xml:space="preserve">USD in millions  |  Fiscal Year Ends January 31  |  Source: Macrotrends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</si>
  <si>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</si>
  <si>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</si>
  <si>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</si>
  <si>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</si>
  <si>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</si>
  <si>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</si>
  <si>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</si>
  <si>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Cost of Goods Sold</t>
  </si>
  <si>
    <t xml:space="preserve">SG&amp;A Expenses</t>
  </si>
  <si>
    <t xml:space="preserve">Operating Expenses</t>
  </si>
  <si>
    <t xml:space="preserve">Operating Margin %</t>
  </si>
  <si>
    <t xml:space="preserve">Non-Operating Inc/Exp</t>
  </si>
  <si>
    <t xml:space="preserve">Pre-Tax Income</t>
  </si>
  <si>
    <t xml:space="preserve">Income Taxes</t>
  </si>
  <si>
    <t xml:space="preserve">Effective Tax Rate</t>
  </si>
  <si>
    <t xml:space="preserve">Net Margin %</t>
  </si>
  <si>
    <t xml:space="preserve">D&amp;A (from CF)</t>
  </si>
  <si>
    <t xml:space="preserve">Shares Outstanding (mm)</t>
  </si>
  <si>
    <t xml:space="preserve">Colors Info:</t>
  </si>
  <si>
    <t xml:space="preserve">Blue = Input form website</t>
  </si>
  <si>
    <t xml:space="preserve">Black = calculated / formula</t>
  </si>
  <si>
    <t xml:space="preserve">Green = Cross-sheet calc</t>
  </si>
  <si>
    <t xml:space="preserve">WALMART INC. (WMT) - Balance Sheet</t>
  </si>
  <si>
    <t xml:space="preserve">USD in millions  |  Fiscal Year Ends January 31  |  Source: Macrotrends | *They only had until 2025 (we are in 2026)*</t>
  </si>
  <si>
    <t xml:space="preserve"> ASSETS </t>
  </si>
  <si>
    <t xml:space="preserve">Cash &amp; Equivalents</t>
  </si>
  <si>
    <t xml:space="preserve">Receivables</t>
  </si>
  <si>
    <t xml:space="preserve">Inventory</t>
  </si>
  <si>
    <t xml:space="preserve">Pre-Paid Expenses</t>
  </si>
  <si>
    <t xml:space="preserve">Total Current Assets</t>
  </si>
  <si>
    <t xml:space="preserve">PP&amp;E, Net</t>
  </si>
  <si>
    <t xml:space="preserve">Goodwill &amp; Intangibles</t>
  </si>
  <si>
    <t xml:space="preserve">Other Long-Term Assets</t>
  </si>
  <si>
    <t xml:space="preserve">Total Long-Term Assets</t>
  </si>
  <si>
    <t xml:space="preserve">TOTAL ASSETS</t>
  </si>
  <si>
    <t xml:space="preserve">LIABILITIES</t>
  </si>
  <si>
    <t xml:space="preserve">Total Current Liabilities</t>
  </si>
  <si>
    <t xml:space="preserve">Long-Term Debt</t>
  </si>
  <si>
    <t xml:space="preserve">Total Long-Term Liabilities</t>
  </si>
  <si>
    <t xml:space="preserve">TOTAL LIABILITIES</t>
  </si>
  <si>
    <t xml:space="preserve"> EQUITY</t>
  </si>
  <si>
    <t xml:space="preserve">Common Stock Net</t>
  </si>
  <si>
    <t xml:space="preserve">Retained Earnings</t>
  </si>
  <si>
    <t xml:space="preserve">Comprehensive Income</t>
  </si>
  <si>
    <t xml:space="preserve">Total Shareholders Equity</t>
  </si>
  <si>
    <t xml:space="preserve">TOTAL LIABILITIES + EQUITY</t>
  </si>
  <si>
    <t xml:space="preserve">KEY RATIOS</t>
  </si>
  <si>
    <t xml:space="preserve">Net Debt</t>
  </si>
  <si>
    <t xml:space="preserve">Current Ratio</t>
  </si>
  <si>
    <t xml:space="preserve">Debt / Equity</t>
  </si>
  <si>
    <t xml:space="preserve">WALMART INC. (WMT) - Cash Flow Statement</t>
  </si>
  <si>
    <t xml:space="preserve">OPERATING ACTIVITIES</t>
  </si>
  <si>
    <t xml:space="preserve">Net Income / Loss</t>
  </si>
  <si>
    <t xml:space="preserve">D&amp;A</t>
  </si>
  <si>
    <t xml:space="preserve">Other Non-Cash Items</t>
  </si>
  <si>
    <t xml:space="preserve">Change in Accounts Receivable</t>
  </si>
  <si>
    <t xml:space="preserve">Change in Inventory</t>
  </si>
  <si>
    <t xml:space="preserve">Change in Accounts Payable</t>
  </si>
  <si>
    <t xml:space="preserve">Other Working Capital</t>
  </si>
  <si>
    <t xml:space="preserve">Cash Flow from Operations</t>
  </si>
  <si>
    <t xml:space="preserve">INVESTING ACTIVITIES</t>
  </si>
  <si>
    <t xml:space="preserve">Capital Expenditures (Capex)</t>
  </si>
  <si>
    <t xml:space="preserve">Net Acquisitions/Divestitures</t>
  </si>
  <si>
    <t xml:space="preserve">Other Investing Activities</t>
  </si>
  <si>
    <t xml:space="preserve">Cash Flow from Investing</t>
  </si>
  <si>
    <t xml:space="preserve">FINANCING ACTIVITIES</t>
  </si>
  <si>
    <t xml:space="preserve">Net Debt Issuance/Repayment</t>
  </si>
  <si>
    <t xml:space="preserve">Net Equity Issued/Repurchased</t>
  </si>
  <si>
    <t xml:space="preserve">Dividends Paid</t>
  </si>
  <si>
    <t xml:space="preserve">Other Financing Activities</t>
  </si>
  <si>
    <t xml:space="preserve">Cash Flow from Financing</t>
  </si>
  <si>
    <t xml:space="preserve">KEY METRICS</t>
  </si>
  <si>
    <t xml:space="preserve">Net Change in Cash</t>
  </si>
  <si>
    <t xml:space="preserve">Free Cash Flow (CFO - Capex)</t>
  </si>
  <si>
    <t xml:space="preserve">FCF Margin %</t>
  </si>
  <si>
    <t xml:space="preserve">Capex / Revenue %</t>
  </si>
  <si>
    <t xml:space="preserve">WALMART INC. (WMT) - DCF Valuation</t>
  </si>
  <si>
    <t xml:space="preserve">USD in millions  |  Base Case  |  Fiscal Year Ends January 31</t>
  </si>
  <si>
    <t xml:space="preserve">KEY DCF ASSUMPTIONS</t>
  </si>
  <si>
    <t xml:space="preserve">Free Cash Flow ($mm)</t>
  </si>
  <si>
    <t xml:space="preserve">WACC (Discount Rate)</t>
  </si>
  <si>
    <t xml:space="preserve">Applied uniformly across all projection years</t>
  </si>
  <si>
    <t xml:space="preserve">Terminal EV/EBITDA Exit Multiple</t>
  </si>
  <si>
    <t xml:space="preserve">Discount to current ~18x; conservative base case</t>
  </si>
  <si>
    <t xml:space="preserve">FY2031E EBITDA ($mm)</t>
  </si>
  <si>
    <t xml:space="preserve">Net Debt ($mm)  [LT Debt minus Cash, FY2025]</t>
  </si>
  <si>
    <t xml:space="preserve">Shares Outstanding (mm)  [FY2027E]</t>
  </si>
  <si>
    <t xml:space="preserve">DISCOUNT THE FREE CASH FLOWS</t>
  </si>
  <si>
    <t xml:space="preserve">Total</t>
  </si>
  <si>
    <t xml:space="preserve">Discount Period (Year)</t>
  </si>
  <si>
    <t xml:space="preserve">Discount Factor  [ 1 / (1 + WACC)^Year ]</t>
  </si>
  <si>
    <t xml:space="preserve">PV of Free Cash Flow ($mm)</t>
  </si>
  <si>
    <t xml:space="preserve">CALCULATE TERMINAL VALUE</t>
  </si>
  <si>
    <t xml:space="preserve">Terminal Value  [ FY2031E EBITDA x Exit Multiple ]</t>
  </si>
  <si>
    <t xml:space="preserve">PV of Terminal Value  [ TV / (1 + WACC)^5 ]</t>
  </si>
  <si>
    <t xml:space="preserve">Terminal Value as % of Total EV</t>
  </si>
  <si>
    <t xml:space="preserve">BRIDGE TO EQUITY VALUE AND PRICE TARGET</t>
  </si>
  <si>
    <t xml:space="preserve">Enterprise Value  [ PV of FCFs + PV of Terminal Value ]</t>
  </si>
  <si>
    <t xml:space="preserve">Less: Net Debt</t>
  </si>
  <si>
    <t xml:space="preserve">Equity Value</t>
  </si>
  <si>
    <t xml:space="preserve">Divided by: Shares Outstanding (mm)</t>
  </si>
  <si>
    <t xml:space="preserve">IMPLIED PRICE TARGET (DCF)</t>
  </si>
  <si>
    <t xml:space="preserve">SENSITIVITY ANALYSIS - Price Target by WACC and Exit Multiple</t>
  </si>
  <si>
    <t xml:space="preserve">Each cell shows the implied price target at that WACC / Exit Multiple combination.</t>
  </si>
  <si>
    <t xml:space="preserve">WACC  \  Exit Multiple</t>
  </si>
  <si>
    <t xml:space="preserve">13x</t>
  </si>
  <si>
    <t xml:space="preserve">14x</t>
  </si>
  <si>
    <t xml:space="preserve">15x</t>
  </si>
  <si>
    <t xml:space="preserve">16x</t>
  </si>
  <si>
    <t xml:space="preserve">17x</t>
  </si>
  <si>
    <t xml:space="preserve">18x</t>
  </si>
  <si>
    <t xml:space="preserve">19x</t>
  </si>
  <si>
    <t xml:space="preserve">Yellow = Base case  |  Green = Bull scenario  |  White = Bear scenario</t>
  </si>
  <si>
    <t xml:space="preserve">WALMART INC. (WMT) - Trading Comparables</t>
  </si>
  <si>
    <t xml:space="preserve">LTM = Last Twelve Months  |  Figures in USD millions unless noted  |  Prices as of April 2026 (verify before use)</t>
  </si>
  <si>
    <t xml:space="preserve">NOTE: Comp figures are approximate estimates. Verify current market data before presenting this analysis.</t>
  </si>
  <si>
    <t xml:space="preserve">PEER GROUP SELECTION RATIONALE</t>
  </si>
  <si>
    <t xml:space="preserve">Amazon (AMZN)</t>
  </si>
  <si>
    <t xml:space="preserve">Most direct competitor. Retail + ads + fulfillment. Key benchmark for Walmart's ecosystem ambitions.</t>
  </si>
  <si>
    <t xml:space="preserve">Costco (COST)</t>
  </si>
  <si>
    <t xml:space="preserve">Membership model comp. High loyalty, strong traffic. Relevant for Walmart+ thesis.</t>
  </si>
  <si>
    <t xml:space="preserve">Target (TGT)</t>
  </si>
  <si>
    <t xml:space="preserve">Direct mass merchandise peer. Similar customer demographic. No membership moat.</t>
  </si>
  <si>
    <t xml:space="preserve">Kroger (KR)</t>
  </si>
  <si>
    <t xml:space="preserve">Grocery-heavy peer. Tests whether WMT deserves premium to pure grocery.</t>
  </si>
  <si>
    <t xml:space="preserve">Dollar General (DG)</t>
  </si>
  <si>
    <t xml:space="preserve">Value retail comp. Relevant for low-income consumer exposure and pricing power debate.</t>
  </si>
  <si>
    <t xml:space="preserve">TRADING COMPARABLES</t>
  </si>
  <si>
    <t xml:space="preserve">Company</t>
  </si>
  <si>
    <t xml:space="preserve">Ticker</t>
  </si>
  <si>
    <t xml:space="preserve">Mkt Cap
($B)</t>
  </si>
  <si>
    <t xml:space="preserve">Net Debt
($mm)</t>
  </si>
  <si>
    <t xml:space="preserve">EV ($mm)</t>
  </si>
  <si>
    <t xml:space="preserve">LTM Rev
($mm)</t>
  </si>
  <si>
    <t xml:space="preserve">LTM
EBITDA</t>
  </si>
  <si>
    <t xml:space="preserve">EV/
Revenue</t>
  </si>
  <si>
    <t xml:space="preserve">EV/
EBITDA</t>
  </si>
  <si>
    <t xml:space="preserve">P/E
(NTM)</t>
  </si>
  <si>
    <t xml:space="preserve">EBITDA
Margin</t>
  </si>
  <si>
    <t xml:space="preserve">Amazon</t>
  </si>
  <si>
    <t xml:space="preserve">AMZN</t>
  </si>
  <si>
    <t xml:space="preserve">Costco</t>
  </si>
  <si>
    <t xml:space="preserve">COST</t>
  </si>
  <si>
    <t xml:space="preserve">Target</t>
  </si>
  <si>
    <t xml:space="preserve">TGT</t>
  </si>
  <si>
    <t xml:space="preserve">Kroger</t>
  </si>
  <si>
    <t xml:space="preserve">KR</t>
  </si>
  <si>
    <t xml:space="preserve">Dollar General</t>
  </si>
  <si>
    <t xml:space="preserve">DG</t>
  </si>
  <si>
    <t xml:space="preserve">Median (Peers)</t>
  </si>
  <si>
    <t xml:space="preserve">Walmart (WMT) - Subject</t>
  </si>
  <si>
    <t xml:space="preserve">WMT</t>
  </si>
  <si>
    <t xml:space="preserve">IMPLIED PRICE TARGET FROM COMPS</t>
  </si>
  <si>
    <t xml:space="preserve">Method</t>
  </si>
  <si>
    <t xml:space="preserve">Multiple Used</t>
  </si>
  <si>
    <t xml:space="preserve">Applied to (FY2027E)</t>
  </si>
  <si>
    <t xml:space="preserve">Implied EV ($mm)</t>
  </si>
  <si>
    <t xml:space="preserve">Shares (mm)</t>
  </si>
  <si>
    <t xml:space="preserve">Implied Price</t>
  </si>
  <si>
    <t xml:space="preserve">Weight</t>
  </si>
  <si>
    <t xml:space="preserve">Wtd Price</t>
  </si>
  <si>
    <t xml:space="preserve">EV / EBITDA</t>
  </si>
  <si>
    <t xml:space="preserve">P / E (NTM)</t>
  </si>
  <si>
    <t xml:space="preserve">N/A (P/E applied to EPS directly)</t>
  </si>
  <si>
    <t xml:space="preserve">IMPLIED PRICE TARGET (COMPS)</t>
  </si>
  <si>
    <t xml:space="preserve">FINAL BLENDED PRICE TARGET</t>
  </si>
  <si>
    <t xml:space="preserve">Contribution</t>
  </si>
  <si>
    <t xml:space="preserve">DCF Valuation</t>
  </si>
  <si>
    <t xml:space="preserve">Trading Comps</t>
  </si>
  <si>
    <t xml:space="preserve">BLENDED PRICE TARGET</t>
  </si>
  <si>
    <t xml:space="preserve">70% DCF / 30% Comps</t>
  </si>
  <si>
    <t xml:space="preserve">RATING</t>
  </si>
  <si>
    <t xml:space="preserve">Blended target implies ~2% upside from current price of $95. Variant view on margin expansion is not priced in by consensus.</t>
  </si>
  <si>
    <t xml:space="preserve">PROJECTION ASSUMPTIONS</t>
  </si>
  <si>
    <t xml:space="preserve">All projection drivers will be found here. Each assumption links into the IS / BS / CF projection columns.</t>
  </si>
  <si>
    <t xml:space="preserve">Driver</t>
  </si>
  <si>
    <t xml:space="preserve">Notes</t>
  </si>
  <si>
    <t xml:space="preserve">Revenue Growth %</t>
  </si>
  <si>
    <t xml:space="preserve">Key driver: separate retail vs. ads vs. membership</t>
  </si>
  <si>
    <t xml:space="preserve">Watch COGS inflation vs. mix shift to higher-margin revenue</t>
  </si>
  <si>
    <t xml:space="preserve">SG&amp;A % of Revenue</t>
  </si>
  <si>
    <t xml:space="preserve">Leverage expected as fixed cost base grows slower than rev</t>
  </si>
  <si>
    <t xml:space="preserve">Variant view: consensus underestimates by ~50-80bps by FY2029</t>
  </si>
  <si>
    <t xml:space="preserve">Capex % of Revenue</t>
  </si>
  <si>
    <t xml:space="preserve">Rising due to fulfillment buildout; watch this closely</t>
  </si>
  <si>
    <t xml:space="preserve">Use historical avg ~24-25%</t>
  </si>
  <si>
    <t xml:space="preserve">Shares Outstanding</t>
  </si>
  <si>
    <t xml:space="preserve">Declining due to buybacks; use trend</t>
  </si>
  <si>
    <t xml:space="preserve">D&amp;A % of Revenue</t>
  </si>
  <si>
    <t xml:space="preserve">Project at 2.0% of revenue (consistent with FY2024-FY2026 avg)</t>
  </si>
  <si>
    <t xml:space="preserve">Non-Operating Inc/Exp ($mm)</t>
  </si>
  <si>
    <t xml:space="preserve">Reflects net interest expense; held flat at FY2026 level</t>
  </si>
  <si>
    <t xml:space="preserve">Change in AR (% of Rev)</t>
  </si>
  <si>
    <t xml:space="preserve">Working capital: AR grows with revenue</t>
  </si>
  <si>
    <t xml:space="preserve">Change in Inventory (% of Rev)</t>
  </si>
  <si>
    <t xml:space="preserve">Working capital: inventory grows with revenue</t>
  </si>
  <si>
    <t xml:space="preserve">Change in AP (% of Rev)</t>
  </si>
  <si>
    <t xml:space="preserve">Working capital: payables grow with revenue</t>
  </si>
  <si>
    <t xml:space="preserve">Other Non-Cash Items ($mm)</t>
  </si>
  <si>
    <t xml:space="preserve">Held near FY2026 level; catch-all non-cash</t>
  </si>
  <si>
    <t xml:space="preserve">Dividends Paid ($mm)</t>
  </si>
  <si>
    <t xml:space="preserve">3% annual growth from FY2026 base</t>
  </si>
  <si>
    <t xml:space="preserve">Net Buybacks ($mm)</t>
  </si>
  <si>
    <t xml:space="preserve">Held at recent avg; reduces share count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</si>
</sst>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.00"/>
    <numFmt numFmtId="166" formatCode="0.0%"/>
    <numFmt numFmtId="167" formatCode="#,##0;\(#,##0\);\-"/>
    <numFmt numFmtId="168" formatCode="0.0%;\(0.0%\);\-"/>
    <numFmt numFmtId="169" formatCode="#,##0.00;\(#,##0.00\);\-"/>
    <numFmt numFmtId="170" formatCode="\$#,##0.00;&quot;($&quot;#,##0.00\);\-"/>
    <numFmt numFmtId="171" formatCode="0.0\x"/>
    <numFmt numFmtId="172" formatCode="0"/>
    <numFmt numFmtId="173" formatCode="0.000\x"/>
    <numFmt numFmtId="174" formatCode="\$#,##0.0"/>
    <numFmt numFmtId="175" formatCode="#,##0"/>
    <numFmt numFmtId="176" formatCode="0%"/>
    <numFmt numFmtId="177" formatCode="0.00%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ADD8E6"/>
      <name val="Arial"/>
      <family val="0"/>
      <charset val="1"/>
    </font>
    <font>
      <i val="true"/>
      <sz val="9"/>
      <color rgb="FF99BBDD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003087"/>
      <name val="Arial"/>
      <family val="0"/>
      <charset val="1"/>
    </font>
    <font>
      <b val="true"/>
      <sz val="14"/>
      <color rgb="FF0000FF"/>
      <name val="Arial"/>
      <family val="0"/>
      <charset val="1"/>
    </font>
    <font>
      <b val="true"/>
      <sz val="14"/>
      <color rgb="FF37562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00308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5FAD"/>
      <name val="Arial"/>
      <family val="0"/>
      <charset val="1"/>
    </font>
    <font>
      <sz val="9"/>
      <color rgb="FF333333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sz val="9"/>
      <color rgb="FF1A3D1A"/>
      <name val="Arial"/>
      <family val="0"/>
      <charset val="1"/>
    </font>
    <font>
      <sz val="9"/>
      <color rgb="FF9C0006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3"/>
      <color rgb="FF003087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003087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2"/>
      <color rgb="FF003087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9C0006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9"/>
      <color rgb="FF44444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10"/>
      <color rgb="FF999999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03087"/>
        <bgColor rgb="FF000080"/>
      </patternFill>
    </fill>
    <fill>
      <patternFill patternType="solid">
        <fgColor rgb="FF375623"/>
        <bgColor rgb="FF444444"/>
      </patternFill>
    </fill>
    <fill>
      <patternFill patternType="solid">
        <fgColor rgb="FF1F5FAD"/>
        <bgColor rgb="FF3366FF"/>
      </patternFill>
    </fill>
    <fill>
      <patternFill patternType="solid">
        <fgColor rgb="FFEFF6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FF6FF"/>
      </patternFill>
    </fill>
    <fill>
      <patternFill patternType="solid">
        <fgColor rgb="FFDAE8FC"/>
        <bgColor rgb="FFD9E1F2"/>
      </patternFill>
    </fill>
    <fill>
      <patternFill patternType="solid">
        <fgColor rgb="FFFFFFFF"/>
        <bgColor rgb="FFEFF6FF"/>
      </patternFill>
    </fill>
    <fill>
      <patternFill patternType="solid">
        <fgColor rgb="FFCC0000"/>
        <bgColor rgb="FF9C0006"/>
      </patternFill>
    </fill>
    <fill>
      <patternFill patternType="solid">
        <fgColor rgb="FF9C0006"/>
        <bgColor rgb="FFCC0000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DAE8FC"/>
      </patternFill>
    </fill>
    <fill>
      <patternFill patternType="solid">
        <fgColor rgb="FFBDD7EE"/>
        <bgColor rgb="FFADD8E6"/>
      </patternFill>
    </fill>
    <fill>
      <patternFill patternType="solid">
        <fgColor rgb="FFFF0000"/>
        <bgColor rgb="FFCC00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>
        <color rgb="FF375623"/>
      </left>
      <right style="medium">
        <color rgb="FF375623"/>
      </right>
      <top style="medium">
        <color rgb="FF375623"/>
      </top>
      <bottom style="medium">
        <color rgb="FF375623"/>
      </bottom>
      <diagonal/>
    </border>
    <border diagonalUp="false" diagonalDown="false">
      <left style="medium">
        <color rgb="FF1F5FAD"/>
      </left>
      <right style="medium">
        <color rgb="FF1F5FAD"/>
      </right>
      <top style="medium">
        <color rgb="FF1F5FAD"/>
      </top>
      <bottom style="medium">
        <color rgb="FF1F5FAD"/>
      </bottom>
      <diagonal/>
    </border>
    <border diagonalUp="false" diagonalDown="false">
      <left style="medium">
        <color rgb="FF003087"/>
      </left>
      <right style="medium">
        <color rgb="FF003087"/>
      </right>
      <top style="medium">
        <color rgb="FF003087"/>
      </top>
      <bottom style="medium">
        <color rgb="FF003087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 style="medium">
        <color rgb="FFCC0000"/>
      </left>
      <right style="medium">
        <color rgb="FFCC0000"/>
      </right>
      <top style="medium">
        <color rgb="FFCC0000"/>
      </top>
      <bottom style="medium">
        <color rgb="FFCC0000"/>
      </bottom>
      <diagonal/>
    </border>
    <border diagonalUp="false" diagonalDown="false">
      <left/>
      <right style="medium">
        <color rgb="FFFF0000"/>
      </right>
      <top/>
      <bottom/>
      <diagonal/>
    </border>
    <border diagonalUp="false" diagonalDown="false">
      <left/>
      <right/>
      <top style="thin">
        <color rgb="FF003087"/>
      </top>
      <bottom style="thin">
        <color rgb="FF003087"/>
      </bottom>
      <diagonal/>
    </border>
    <border diagonalUp="false" diagonalDown="false">
      <left/>
      <right/>
      <top style="thin">
        <color rgb="FF1F5FAD"/>
      </top>
      <bottom style="thin">
        <color rgb="FF1F5FA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9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8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9" fillId="9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8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8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9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28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30" fillId="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1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27" fillId="13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14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9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30" fillId="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9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7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8" fillId="13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8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30" fillId="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8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30" fillId="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7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8" fillId="1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7" fillId="1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9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30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30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8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8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9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9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7" fillId="14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9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3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35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7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7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8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8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9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9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37" fillId="14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7" fillId="14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7" fillId="14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7" fillId="14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8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8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9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9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9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0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0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9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9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7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8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9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0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7" fontId="42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2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3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2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99BBDD"/>
      <rgbColor rgb="FF888888"/>
      <rgbColor rgb="FF9999FF"/>
      <rgbColor rgb="FF993366"/>
      <rgbColor rgb="FFFFF2CC"/>
      <rgbColor rgb="FFDAE8FC"/>
      <rgbColor rgb="FF660066"/>
      <rgbColor rgb="FFFF8080"/>
      <rgbColor rgb="FF1F5FAD"/>
      <rgbColor rgb="FFBDD7EE"/>
      <rgbColor rgb="FF000080"/>
      <rgbColor rgb="FFFF00FF"/>
      <rgbColor rgb="FFFFFF00"/>
      <rgbColor rgb="FF00FFFF"/>
      <rgbColor rgb="FF800080"/>
      <rgbColor rgb="FFCC0000"/>
      <rgbColor rgb="FF008080"/>
      <rgbColor rgb="FF0000FF"/>
      <rgbColor rgb="FF00CCFF"/>
      <rgbColor rgb="FFEFF6FF"/>
      <rgbColor rgb="FFE2EFDA"/>
      <rgbColor rgb="FFF2F2F2"/>
      <rgbColor rgb="FFADD8E6"/>
      <rgbColor rgb="FFD9E1F2"/>
      <rgbColor rgb="FFD9D9D9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087"/>
      <rgbColor rgb="FF339966"/>
      <rgbColor rgb="FF375623"/>
      <rgbColor rgb="FF1A3D1A"/>
      <rgbColor rgb="FF993300"/>
      <rgbColor rgb="FF993366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14"/>
    <col collapsed="false" customWidth="true" hidden="false" outlineLevel="0" max="5" min="5" style="1" width="3"/>
    <col collapsed="false" customWidth="true" hidden="false" outlineLevel="0" max="6" min="6" style="1" width="18"/>
    <col collapsed="false" customWidth="true" hidden="false" outlineLevel="0" max="9" min="7" style="1" width="14"/>
    <col collapsed="false" customWidth="true" hidden="false" outlineLevel="0" max="10" min="10" style="1" width="3"/>
    <col collapsed="false" customWidth="true" hidden="false" outlineLevel="0" max="11" min="11" style="1" width="18"/>
    <col collapsed="false" customWidth="true" hidden="false" outlineLevel="0" max="12" min="12" style="1" width="14"/>
  </cols>
  <sheetData>
    <row r="1" customFormat="false" ht="39.75" hidden="false" customHeight="true" outlineLevel="0" collapsed="false">
      <c r="A1" s="2" t="s">
        <v>0</v>
      </c>
      <c r="B1" s="3"/>
      <c r="C1" s="3"/>
      <c r="D1" s="3"/>
      <c r="E1" s="3"/>
      <c r="F1" s="3"/>
      <c r="G1" s="4" t="s">
        <v>1</v>
      </c>
      <c r="H1" s="4"/>
      <c r="I1" s="4"/>
      <c r="J1" s="4"/>
      <c r="K1" s="4"/>
      <c r="L1" s="4"/>
    </row>
    <row r="2" customFormat="false" ht="15.75" hidden="false" customHeight="true" outlineLevel="0" collapsed="false">
      <c r="A2" s="5" t="s">
        <v>2</v>
      </c>
      <c r="B2" s="5"/>
      <c r="C2" s="5"/>
      <c r="D2" s="5"/>
      <c r="E2" s="5"/>
      <c r="F2" s="5"/>
      <c r="G2" s="6" t="s">
        <v>3</v>
      </c>
      <c r="H2" s="6"/>
      <c r="I2" s="6"/>
      <c r="J2" s="6"/>
      <c r="K2" s="6"/>
      <c r="L2" s="6"/>
    </row>
    <row r="4" customFormat="false" ht="36" hidden="false" customHeight="true" outlineLevel="0" collapsed="false">
      <c r="A4" s="7" t="s">
        <v>4</v>
      </c>
      <c r="B4" s="7"/>
      <c r="C4" s="8" t="s">
        <v>5</v>
      </c>
      <c r="D4" s="9" t="n">
        <f aca="false">'DCF Valuation'!C29*0.7+'Trading Comps'!B31*0.3</f>
        <v>97.106507713192</v>
      </c>
      <c r="F4" s="10" t="s">
        <v>6</v>
      </c>
      <c r="G4" s="11" t="n">
        <v>95</v>
      </c>
      <c r="H4" s="12" t="s">
        <v>7</v>
      </c>
      <c r="I4" s="13" t="n">
        <f aca="false">(D4-G4)/G4</f>
        <v>0.0221737654020212</v>
      </c>
      <c r="K4" s="14" t="s">
        <v>8</v>
      </c>
      <c r="L4" s="15" t="s">
        <v>9</v>
      </c>
    </row>
    <row r="6" customFormat="false" ht="18" hidden="false" customHeight="true" outlineLevel="0" collapsed="false">
      <c r="A6" s="16" t="s">
        <v>10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15.75" hidden="false" customHeight="true" outlineLevel="0" collapsed="false">
      <c r="A7" s="17" t="s">
        <v>11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customFormat="false" ht="30" hidden="false" customHeight="true" outlineLevel="0" collapsed="false">
      <c r="A8" s="18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</row>
    <row r="9" customFormat="false" ht="15.75" hidden="false" customHeight="true" outlineLevel="0" collapsed="false">
      <c r="A9" s="17" t="s">
        <v>13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</row>
    <row r="10" customFormat="false" ht="30" hidden="false" customHeight="true" outlineLevel="0" collapsed="false">
      <c r="A10" s="18" t="s">
        <v>14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</row>
    <row r="11" customFormat="false" ht="15.75" hidden="false" customHeight="true" outlineLevel="0" collapsed="false">
      <c r="A11" s="17" t="s">
        <v>15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customFormat="false" ht="30" hidden="false" customHeight="true" outlineLevel="0" collapsed="false">
      <c r="A12" s="18" t="s">
        <v>16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4" customFormat="false" ht="18" hidden="false" customHeight="true" outlineLevel="0" collapsed="false">
      <c r="A14" s="16" t="s">
        <v>17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customFormat="false" ht="15.75" hidden="false" customHeight="true" outlineLevel="0" collapsed="false">
      <c r="A15" s="19" t="s">
        <v>18</v>
      </c>
      <c r="B15" s="8" t="s">
        <v>19</v>
      </c>
      <c r="C15" s="8" t="s">
        <v>20</v>
      </c>
      <c r="D15" s="8" t="s">
        <v>21</v>
      </c>
      <c r="E15" s="20"/>
      <c r="F15" s="8" t="s">
        <v>22</v>
      </c>
      <c r="G15" s="8" t="s">
        <v>23</v>
      </c>
      <c r="H15" s="8" t="s">
        <v>24</v>
      </c>
      <c r="I15" s="8" t="s">
        <v>25</v>
      </c>
      <c r="J15" s="20"/>
      <c r="K15" s="8" t="s">
        <v>26</v>
      </c>
      <c r="L15" s="8"/>
    </row>
    <row r="16" customFormat="false" ht="15.75" hidden="false" customHeight="true" outlineLevel="0" collapsed="false">
      <c r="A16" s="21" t="s">
        <v>27</v>
      </c>
      <c r="B16" s="22" t="n">
        <f aca="false">'Income Statement'!F4</f>
        <v>648125</v>
      </c>
      <c r="C16" s="22" t="n">
        <f aca="false">'Income Statement'!G4</f>
        <v>680985</v>
      </c>
      <c r="D16" s="22" t="n">
        <f aca="false">'Income Statement'!H4</f>
        <v>713163</v>
      </c>
      <c r="F16" s="23" t="n">
        <f aca="false">'Income Statement'!I4</f>
        <v>745255.335</v>
      </c>
      <c r="G16" s="23" t="n">
        <f aca="false">'Income Statement'!J4</f>
        <v>778791.825075</v>
      </c>
      <c r="H16" s="23" t="n">
        <f aca="false">'Income Statement'!K4</f>
        <v>812279.873553225</v>
      </c>
      <c r="I16" s="23" t="n">
        <f aca="false">'Income Statement'!L4</f>
        <v>844771.068495354</v>
      </c>
      <c r="J16" s="23" t="n">
        <f aca="false">'Income Statement'!M4</f>
        <v>876872.369098177</v>
      </c>
    </row>
    <row r="17" customFormat="false" ht="15.75" hidden="false" customHeight="true" outlineLevel="0" collapsed="false">
      <c r="A17" s="24" t="s">
        <v>28</v>
      </c>
      <c r="B17" s="25" t="n">
        <f aca="false">'Income Statement'!F6</f>
        <v>157983</v>
      </c>
      <c r="C17" s="25" t="n">
        <f aca="false">'Income Statement'!G6</f>
        <v>169232</v>
      </c>
      <c r="D17" s="25" t="n">
        <f aca="false">'Income Statement'!H6</f>
        <v>177768</v>
      </c>
      <c r="F17" s="23" t="n">
        <f aca="false">'Income Statement'!I6</f>
        <v>187059.089085</v>
      </c>
      <c r="G17" s="23" t="n">
        <f aca="false">'Income Statement'!J6</f>
        <v>197034.331743975</v>
      </c>
      <c r="H17" s="23" t="n">
        <f aca="false">'Income Statement'!K6</f>
        <v>207131.367756072</v>
      </c>
      <c r="I17" s="23" t="n">
        <f aca="false">'Income Statement'!L6</f>
        <v>217106.164603306</v>
      </c>
      <c r="J17" s="23" t="n">
        <f aca="false">'Income Statement'!M6</f>
        <v>227109.943596428</v>
      </c>
    </row>
    <row r="18" customFormat="false" ht="15.75" hidden="false" customHeight="true" outlineLevel="0" collapsed="false">
      <c r="A18" s="21" t="s">
        <v>29</v>
      </c>
      <c r="B18" s="26" t="n">
        <f aca="false">'Income Statement'!F7</f>
        <v>0.243753905496625</v>
      </c>
      <c r="C18" s="26" t="n">
        <f aca="false">'Income Statement'!G7</f>
        <v>0.248510613302789</v>
      </c>
      <c r="D18" s="26" t="n">
        <f aca="false">'Income Statement'!H7</f>
        <v>0.249266997867248</v>
      </c>
      <c r="F18" s="27" t="n">
        <f aca="false">'Income Statement'!I7</f>
        <v>0.251</v>
      </c>
      <c r="G18" s="27" t="n">
        <f aca="false">'Income Statement'!J7</f>
        <v>0.253</v>
      </c>
      <c r="H18" s="27" t="n">
        <f aca="false">'Income Statement'!K7</f>
        <v>0.255</v>
      </c>
      <c r="I18" s="27" t="n">
        <f aca="false">'Income Statement'!L7</f>
        <v>0.257</v>
      </c>
      <c r="J18" s="27" t="n">
        <f aca="false">'Income Statement'!M7</f>
        <v>0.259</v>
      </c>
    </row>
    <row r="19" customFormat="false" ht="15.75" hidden="false" customHeight="true" outlineLevel="0" collapsed="false">
      <c r="A19" s="24" t="s">
        <v>30</v>
      </c>
      <c r="B19" s="25" t="n">
        <f aca="false">'Income Statement'!F10</f>
        <v>27012</v>
      </c>
      <c r="C19" s="25" t="n">
        <f aca="false">'Income Statement'!G10</f>
        <v>29348</v>
      </c>
      <c r="D19" s="25" t="n">
        <f aca="false">'Income Statement'!H10</f>
        <v>29825</v>
      </c>
      <c r="F19" s="23" t="n">
        <f aca="false">'Income Statement'!I10</f>
        <v>34281.74541</v>
      </c>
      <c r="G19" s="23" t="n">
        <f aca="false">'Income Statement'!J10</f>
        <v>38939.5912537499</v>
      </c>
      <c r="H19" s="23" t="n">
        <f aca="false">'Income Statement'!K10</f>
        <v>43863.1131718741</v>
      </c>
      <c r="I19" s="23" t="n">
        <f aca="false">'Income Statement'!L10</f>
        <v>48996.7219727305</v>
      </c>
      <c r="J19" s="23" t="n">
        <f aca="false">'Income Statement'!M10</f>
        <v>54366.086884087</v>
      </c>
    </row>
    <row r="20" customFormat="false" ht="15.75" hidden="false" customHeight="true" outlineLevel="0" collapsed="false">
      <c r="A20" s="21" t="s">
        <v>31</v>
      </c>
      <c r="B20" s="26" t="n">
        <f aca="false">'Income Statement'!F11</f>
        <v>0.0416771456123433</v>
      </c>
      <c r="C20" s="26" t="n">
        <f aca="false">'Income Statement'!G11</f>
        <v>0.043096397130627</v>
      </c>
      <c r="D20" s="26" t="n">
        <f aca="false">'Income Statement'!H11</f>
        <v>0.0418207338294331</v>
      </c>
      <c r="F20" s="27" t="n">
        <f aca="false">'Income Statement'!I11</f>
        <v>0.046</v>
      </c>
      <c r="G20" s="27" t="n">
        <f aca="false">'Income Statement'!J11</f>
        <v>0.0499999999999999</v>
      </c>
      <c r="H20" s="27" t="n">
        <f aca="false">'Income Statement'!K11</f>
        <v>0.054</v>
      </c>
      <c r="I20" s="27" t="n">
        <f aca="false">'Income Statement'!L11</f>
        <v>0.058</v>
      </c>
      <c r="J20" s="27" t="n">
        <f aca="false">'Income Statement'!M11</f>
        <v>0.0619999999999999</v>
      </c>
    </row>
    <row r="21" customFormat="false" ht="15.75" hidden="false" customHeight="true" outlineLevel="0" collapsed="false">
      <c r="A21" s="24" t="s">
        <v>32</v>
      </c>
      <c r="B21" s="25" t="n">
        <f aca="false">'Income Statement'!F18</f>
        <v>38865</v>
      </c>
      <c r="C21" s="25" t="n">
        <f aca="false">'Income Statement'!G18</f>
        <v>42321</v>
      </c>
      <c r="D21" s="25" t="n">
        <f aca="false">'Income Statement'!H18</f>
        <v>44028</v>
      </c>
      <c r="F21" s="23" t="n">
        <f aca="false">'Income Statement'!I18</f>
        <v>49186.85211</v>
      </c>
      <c r="G21" s="23" t="n">
        <f aca="false">'Income Statement'!J18</f>
        <v>54515.4277552499</v>
      </c>
      <c r="H21" s="23" t="n">
        <f aca="false">'Income Statement'!K18</f>
        <v>60108.7106429386</v>
      </c>
      <c r="I21" s="23" t="n">
        <f aca="false">'Income Statement'!L18</f>
        <v>65892.1433426376</v>
      </c>
      <c r="J21" s="23" t="n">
        <f aca="false">'Income Statement'!M18</f>
        <v>71903.5342660505</v>
      </c>
    </row>
    <row r="22" customFormat="false" ht="15.75" hidden="false" customHeight="true" outlineLevel="0" collapsed="false">
      <c r="A22" s="21" t="s">
        <v>33</v>
      </c>
      <c r="B22" s="26" t="n">
        <f aca="false">'Income Statement'!F19</f>
        <v>0.0599652844744455</v>
      </c>
      <c r="C22" s="26" t="n">
        <f aca="false">'Income Statement'!G19</f>
        <v>0.0621467433203375</v>
      </c>
      <c r="D22" s="26" t="n">
        <f aca="false">'Income Statement'!H19</f>
        <v>0.0617362370173439</v>
      </c>
      <c r="F22" s="27" t="n">
        <f aca="false">'Income Statement'!I19</f>
        <v>0.066</v>
      </c>
      <c r="G22" s="27" t="n">
        <f aca="false">'Income Statement'!J19</f>
        <v>0.0699999999999999</v>
      </c>
      <c r="H22" s="27" t="n">
        <f aca="false">'Income Statement'!K19</f>
        <v>0.074</v>
      </c>
      <c r="I22" s="27" t="n">
        <f aca="false">'Income Statement'!L19</f>
        <v>0.078</v>
      </c>
      <c r="J22" s="27" t="n">
        <f aca="false">'Income Statement'!M19</f>
        <v>0.082</v>
      </c>
    </row>
    <row r="23" customFormat="false" ht="15.75" hidden="false" customHeight="true" outlineLevel="0" collapsed="false">
      <c r="A23" s="24" t="s">
        <v>34</v>
      </c>
      <c r="B23" s="25" t="n">
        <f aca="false">'Income Statement'!F16</f>
        <v>16270</v>
      </c>
      <c r="C23" s="25" t="n">
        <f aca="false">'Income Statement'!G16</f>
        <v>20157</v>
      </c>
      <c r="D23" s="25" t="n">
        <f aca="false">'Income Statement'!H16</f>
        <v>22270</v>
      </c>
      <c r="F23" s="23" t="n">
        <f aca="false">'Income Statement'!I16</f>
        <v>25444.3090575</v>
      </c>
      <c r="G23" s="23" t="n">
        <f aca="false">'Income Statement'!J16</f>
        <v>28937.6934403125</v>
      </c>
      <c r="H23" s="23" t="n">
        <f aca="false">'Income Statement'!K16</f>
        <v>32630.3348789056</v>
      </c>
      <c r="I23" s="23" t="n">
        <f aca="false">'Income Statement'!L16</f>
        <v>36480.5414795479</v>
      </c>
      <c r="J23" s="23" t="n">
        <f aca="false">'Income Statement'!M16</f>
        <v>40507.5651630652</v>
      </c>
    </row>
    <row r="24" customFormat="false" ht="15.75" hidden="false" customHeight="true" outlineLevel="0" collapsed="false">
      <c r="A24" s="21" t="s">
        <v>35</v>
      </c>
      <c r="B24" s="28" t="n">
        <f aca="false">'Income Statement'!F22</f>
        <v>1.91</v>
      </c>
      <c r="C24" s="28" t="n">
        <f aca="false">'Income Statement'!G22</f>
        <v>2.41</v>
      </c>
      <c r="D24" s="28" t="n">
        <f aca="false">'Income Statement'!H22</f>
        <v>2.73</v>
      </c>
      <c r="F24" s="29" t="n">
        <f aca="false">'Income Statement'!I22</f>
        <v>3.20054201981132</v>
      </c>
      <c r="G24" s="29" t="n">
        <f aca="false">'Income Statement'!J22</f>
        <v>3.67229612186706</v>
      </c>
      <c r="H24" s="29" t="n">
        <f aca="false">'Income Statement'!K22</f>
        <v>4.17801983084579</v>
      </c>
      <c r="I24" s="29" t="n">
        <f aca="false">'Income Statement'!L22</f>
        <v>4.71324825317156</v>
      </c>
      <c r="J24" s="29" t="n">
        <f aca="false">'Income Statement'!M22</f>
        <v>5.28129923899155</v>
      </c>
    </row>
    <row r="25" customFormat="false" ht="15.75" hidden="false" customHeight="true" outlineLevel="0" collapsed="false">
      <c r="A25" s="24" t="s">
        <v>36</v>
      </c>
      <c r="B25" s="25" t="n">
        <f aca="false">'Cash Flow Statement'!F26</f>
        <v>15370</v>
      </c>
      <c r="C25" s="25" t="n">
        <f aca="false">'Cash Flow Statement'!G26</f>
        <v>13092</v>
      </c>
      <c r="D25" s="25" t="n">
        <f aca="false">'Cash Flow Statement'!H26</f>
        <v>15029</v>
      </c>
      <c r="F25" s="23" t="n">
        <f aca="false">'Cash Flow Statement'!I26</f>
        <v>13647.59603</v>
      </c>
      <c r="G25" s="23" t="n">
        <f aca="false">'Cash Flow Statement'!J26</f>
        <v>17366.42015165</v>
      </c>
      <c r="H25" s="23" t="n">
        <f aca="false">'Cash Flow Statement'!K26</f>
        <v>22164.556585937</v>
      </c>
      <c r="I25" s="23" t="n">
        <f aca="false">'Cash Flow Statement'!L26</f>
        <v>27265.6741918513</v>
      </c>
      <c r="J25" s="23" t="n">
        <f aca="false">'Cash Flow Statement'!M26</f>
        <v>32677.2776566325</v>
      </c>
    </row>
    <row r="27" customFormat="false" ht="18" hidden="false" customHeight="true" outlineLevel="0" collapsed="false">
      <c r="A27" s="16" t="s">
        <v>37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customFormat="false" ht="15.75" hidden="false" customHeight="true" outlineLevel="0" collapsed="false">
      <c r="A28" s="30" t="s">
        <v>38</v>
      </c>
      <c r="B28" s="30"/>
      <c r="C28" s="30"/>
      <c r="D28" s="31" t="n">
        <f aca="false">'DCF Valuation'!C29</f>
        <v>110.702901347199</v>
      </c>
      <c r="E28" s="32" t="s">
        <v>39</v>
      </c>
      <c r="F28" s="32"/>
    </row>
    <row r="29" customFormat="false" ht="15.75" hidden="false" customHeight="true" outlineLevel="0" collapsed="false">
      <c r="A29" s="33" t="s">
        <v>40</v>
      </c>
      <c r="B29" s="33"/>
      <c r="C29" s="33"/>
      <c r="D29" s="34" t="n">
        <f aca="false">'Trading Comps'!B31</f>
        <v>65.381589233842</v>
      </c>
      <c r="E29" s="35" t="s">
        <v>41</v>
      </c>
      <c r="F29" s="35"/>
    </row>
    <row r="30" customFormat="false" ht="27.75" hidden="false" customHeight="true" outlineLevel="0" collapsed="false">
      <c r="A30" s="36" t="s">
        <v>42</v>
      </c>
      <c r="B30" s="36"/>
      <c r="C30" s="36"/>
      <c r="D30" s="37" t="n">
        <f aca="false">'DCF Valuation'!C29*0.7+'Trading Comps'!B31*0.3</f>
        <v>97.106507713192</v>
      </c>
      <c r="F30" s="38" t="s">
        <v>43</v>
      </c>
      <c r="G30" s="38"/>
      <c r="H30" s="38"/>
      <c r="I30" s="39" t="n">
        <f aca="false">G4</f>
        <v>95</v>
      </c>
    </row>
    <row r="32" customFormat="false" ht="18" hidden="false" customHeight="true" outlineLevel="0" collapsed="false">
      <c r="A32" s="40" t="s">
        <v>44</v>
      </c>
      <c r="B32" s="40"/>
      <c r="C32" s="40"/>
      <c r="D32" s="40"/>
      <c r="E32" s="40"/>
      <c r="F32" s="40"/>
      <c r="H32" s="41" t="s">
        <v>45</v>
      </c>
      <c r="I32" s="41"/>
      <c r="J32" s="41"/>
      <c r="K32" s="41"/>
      <c r="L32" s="41"/>
    </row>
    <row r="33" customFormat="false" ht="19.5" hidden="false" customHeight="true" outlineLevel="0" collapsed="false">
      <c r="A33" s="42" t="s">
        <v>46</v>
      </c>
      <c r="B33" s="42"/>
      <c r="C33" s="42"/>
      <c r="D33" s="42"/>
      <c r="E33" s="42"/>
      <c r="F33" s="42"/>
      <c r="H33" s="43" t="s">
        <v>47</v>
      </c>
      <c r="I33" s="43"/>
      <c r="J33" s="43"/>
      <c r="K33" s="43"/>
      <c r="L33" s="43"/>
    </row>
    <row r="34" customFormat="false" ht="19.5" hidden="false" customHeight="true" outlineLevel="0" collapsed="false">
      <c r="A34" s="42" t="s">
        <v>48</v>
      </c>
      <c r="B34" s="42"/>
      <c r="C34" s="42"/>
      <c r="D34" s="42"/>
      <c r="E34" s="42"/>
      <c r="F34" s="42"/>
      <c r="H34" s="43" t="s">
        <v>49</v>
      </c>
      <c r="I34" s="43"/>
      <c r="J34" s="43"/>
      <c r="K34" s="43"/>
      <c r="L34" s="43"/>
    </row>
    <row r="35" customFormat="false" ht="19.5" hidden="false" customHeight="true" outlineLevel="0" collapsed="false">
      <c r="A35" s="42" t="s">
        <v>50</v>
      </c>
      <c r="B35" s="42"/>
      <c r="C35" s="42"/>
      <c r="D35" s="42"/>
      <c r="E35" s="42"/>
      <c r="F35" s="42"/>
      <c r="H35" s="43" t="s">
        <v>51</v>
      </c>
      <c r="I35" s="43"/>
      <c r="J35" s="43"/>
      <c r="K35" s="43"/>
      <c r="L35" s="43"/>
    </row>
    <row r="36" customFormat="false" ht="19.5" hidden="false" customHeight="true" outlineLevel="0" collapsed="false">
      <c r="A36" s="42" t="s">
        <v>52</v>
      </c>
      <c r="B36" s="42"/>
      <c r="C36" s="42"/>
      <c r="D36" s="42"/>
      <c r="E36" s="42"/>
      <c r="F36" s="42"/>
      <c r="H36" s="43" t="s">
        <v>53</v>
      </c>
      <c r="I36" s="43"/>
      <c r="J36" s="43"/>
      <c r="K36" s="43"/>
      <c r="L36" s="43"/>
    </row>
    <row r="37" customFormat="false" ht="19.5" hidden="false" customHeight="true" outlineLevel="0" collapsed="false">
      <c r="A37" s="42" t="s">
        <v>54</v>
      </c>
      <c r="B37" s="42"/>
      <c r="C37" s="42"/>
      <c r="D37" s="42"/>
      <c r="E37" s="42"/>
      <c r="F37" s="42"/>
      <c r="H37" s="43" t="s">
        <v>55</v>
      </c>
      <c r="I37" s="43"/>
      <c r="J37" s="43"/>
      <c r="K37" s="43"/>
      <c r="L37" s="43"/>
    </row>
    <row r="39" customFormat="false" ht="19.5" hidden="false" customHeight="true" outlineLevel="0" collapsed="false">
      <c r="A39" s="44" t="s">
        <v>56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</row>
  </sheetData>
  <mergeCells count="32">
    <mergeCell ref="G1:L1"/>
    <mergeCell ref="A2:F2"/>
    <mergeCell ref="G2:L2"/>
    <mergeCell ref="A4:B4"/>
    <mergeCell ref="A6:L6"/>
    <mergeCell ref="A7:L7"/>
    <mergeCell ref="A8:L8"/>
    <mergeCell ref="A9:L9"/>
    <mergeCell ref="A10:L10"/>
    <mergeCell ref="A11:L11"/>
    <mergeCell ref="A12:L12"/>
    <mergeCell ref="A14:L14"/>
    <mergeCell ref="A27:L27"/>
    <mergeCell ref="A28:C28"/>
    <mergeCell ref="E28:F28"/>
    <mergeCell ref="A29:C29"/>
    <mergeCell ref="E29:F29"/>
    <mergeCell ref="A30:C30"/>
    <mergeCell ref="F30:H30"/>
    <mergeCell ref="A32:F32"/>
    <mergeCell ref="H32:L32"/>
    <mergeCell ref="A33:F33"/>
    <mergeCell ref="H33:L33"/>
    <mergeCell ref="A34:F34"/>
    <mergeCell ref="H34:L34"/>
    <mergeCell ref="A35:F35"/>
    <mergeCell ref="H35:L35"/>
    <mergeCell ref="A36:F36"/>
    <mergeCell ref="H36:L36"/>
    <mergeCell ref="A37:F37"/>
    <mergeCell ref="H37:L37"/>
    <mergeCell ref="A39:L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27" activeCellId="0" sqref="A27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3" min="2" style="1" width="13"/>
  </cols>
  <sheetData>
    <row r="1" customFormat="false" ht="16.5" hidden="false" customHeight="true" outlineLevel="0" collapsed="false">
      <c r="A1" s="45" t="s">
        <v>57</v>
      </c>
    </row>
    <row r="2" customFormat="false" ht="15" hidden="false" customHeight="true" outlineLevel="0" collapsed="false">
      <c r="A2" s="46" t="s">
        <v>58</v>
      </c>
    </row>
    <row r="3" customFormat="false" ht="18" hidden="false" customHeight="true" outlineLevel="0" collapsed="false">
      <c r="A3" s="47" t="s">
        <v>18</v>
      </c>
      <c r="B3" s="48" t="s">
        <v>59</v>
      </c>
      <c r="C3" s="48" t="s">
        <v>60</v>
      </c>
      <c r="D3" s="48" t="s">
        <v>61</v>
      </c>
      <c r="E3" s="48" t="s">
        <v>62</v>
      </c>
      <c r="F3" s="48" t="s">
        <v>63</v>
      </c>
      <c r="G3" s="48" t="s">
        <v>64</v>
      </c>
      <c r="H3" s="49" t="s">
        <v>65</v>
      </c>
      <c r="I3" s="50" t="s">
        <v>22</v>
      </c>
      <c r="J3" s="50" t="s">
        <v>23</v>
      </c>
      <c r="K3" s="50" t="s">
        <v>24</v>
      </c>
      <c r="L3" s="50" t="s">
        <v>25</v>
      </c>
      <c r="M3" s="50" t="s">
        <v>26</v>
      </c>
    </row>
    <row r="4" customFormat="false" ht="15" hidden="false" customHeight="true" outlineLevel="0" collapsed="false">
      <c r="A4" s="51" t="s">
        <v>27</v>
      </c>
      <c r="B4" s="52" t="n">
        <v>523964</v>
      </c>
      <c r="C4" s="52" t="n">
        <v>559151</v>
      </c>
      <c r="D4" s="52" t="n">
        <v>572754</v>
      </c>
      <c r="E4" s="52" t="n">
        <v>611289</v>
      </c>
      <c r="F4" s="52" t="n">
        <v>648125</v>
      </c>
      <c r="G4" s="52" t="n">
        <v>680985</v>
      </c>
      <c r="H4" s="52" t="n">
        <v>713163</v>
      </c>
      <c r="I4" s="53" t="n">
        <f aca="false">H4*(1+Assumptions!B5)</f>
        <v>745255.335</v>
      </c>
      <c r="J4" s="53" t="n">
        <f aca="false">I4*(1+Assumptions!C5)</f>
        <v>778791.825075</v>
      </c>
      <c r="K4" s="53" t="n">
        <f aca="false">J4*(1+Assumptions!D5)</f>
        <v>812279.873553225</v>
      </c>
      <c r="L4" s="53" t="n">
        <f aca="false">K4*(1+Assumptions!E5)</f>
        <v>844771.068495354</v>
      </c>
      <c r="M4" s="53" t="n">
        <f aca="false">L4*(1+Assumptions!F5)</f>
        <v>876872.369098177</v>
      </c>
      <c r="N4" s="54"/>
      <c r="P4" s="54"/>
    </row>
    <row r="5" customFormat="false" ht="15" hidden="false" customHeight="true" outlineLevel="0" collapsed="false">
      <c r="A5" s="55" t="s">
        <v>66</v>
      </c>
      <c r="B5" s="52" t="n">
        <v>394605</v>
      </c>
      <c r="C5" s="52" t="n">
        <v>420315</v>
      </c>
      <c r="D5" s="52" t="n">
        <v>429000</v>
      </c>
      <c r="E5" s="52" t="n">
        <v>463721</v>
      </c>
      <c r="F5" s="52" t="n">
        <v>490142</v>
      </c>
      <c r="G5" s="52" t="n">
        <v>511753</v>
      </c>
      <c r="H5" s="52" t="n">
        <v>535395</v>
      </c>
      <c r="I5" s="56" t="n">
        <f aca="false">I4*(1-Assumptions!B6)</f>
        <v>558196.245915</v>
      </c>
      <c r="J5" s="56" t="n">
        <f aca="false">J4*(1-Assumptions!C6)</f>
        <v>581757.493331025</v>
      </c>
      <c r="K5" s="56" t="n">
        <f aca="false">K4*(1-Assumptions!D6)</f>
        <v>605148.505797153</v>
      </c>
      <c r="L5" s="56" t="n">
        <f aca="false">L4*(1-Assumptions!E6)</f>
        <v>627664.903892048</v>
      </c>
      <c r="M5" s="56" t="n">
        <f aca="false">M4*(1-Assumptions!F6)</f>
        <v>649762.42550175</v>
      </c>
    </row>
    <row r="6" customFormat="false" ht="15" hidden="false" customHeight="true" outlineLevel="0" collapsed="false">
      <c r="A6" s="57" t="s">
        <v>28</v>
      </c>
      <c r="B6" s="58" t="n">
        <f aca="false">B4-B5</f>
        <v>129359</v>
      </c>
      <c r="C6" s="58" t="n">
        <f aca="false">C4-C5</f>
        <v>138836</v>
      </c>
      <c r="D6" s="58" t="n">
        <f aca="false">D4-D5</f>
        <v>143754</v>
      </c>
      <c r="E6" s="58" t="n">
        <f aca="false">E4-E5</f>
        <v>147568</v>
      </c>
      <c r="F6" s="58" t="n">
        <f aca="false">F4-F5</f>
        <v>157983</v>
      </c>
      <c r="G6" s="58" t="n">
        <f aca="false">G4-G5</f>
        <v>169232</v>
      </c>
      <c r="H6" s="58" t="n">
        <f aca="false">H4-H5</f>
        <v>177768</v>
      </c>
      <c r="I6" s="59" t="n">
        <f aca="false">I4-I5</f>
        <v>187059.089085</v>
      </c>
      <c r="J6" s="59" t="n">
        <f aca="false">J4-J5</f>
        <v>197034.331743975</v>
      </c>
      <c r="K6" s="59" t="n">
        <f aca="false">K4-K5</f>
        <v>207131.367756072</v>
      </c>
      <c r="L6" s="59" t="n">
        <f aca="false">L4-L5</f>
        <v>217106.164603306</v>
      </c>
      <c r="M6" s="59" t="n">
        <f aca="false">M4-M5</f>
        <v>227109.943596428</v>
      </c>
    </row>
    <row r="7" customFormat="false" ht="15" hidden="false" customHeight="true" outlineLevel="0" collapsed="false">
      <c r="A7" s="55" t="s">
        <v>29</v>
      </c>
      <c r="B7" s="60" t="n">
        <f aca="false">B6/B4</f>
        <v>0.24688528219496</v>
      </c>
      <c r="C7" s="60" t="n">
        <f aca="false">C6/C4</f>
        <v>0.248297865871652</v>
      </c>
      <c r="D7" s="60" t="n">
        <f aca="false">D6/D4</f>
        <v>0.250987334876753</v>
      </c>
      <c r="E7" s="60" t="n">
        <f aca="false">E6/E4</f>
        <v>0.24140463839526</v>
      </c>
      <c r="F7" s="60" t="n">
        <f aca="false">F6/F4</f>
        <v>0.243753905496625</v>
      </c>
      <c r="G7" s="60" t="n">
        <f aca="false">G6/G4</f>
        <v>0.248510613302789</v>
      </c>
      <c r="H7" s="60" t="n">
        <f aca="false">H6/H4</f>
        <v>0.249266997867248</v>
      </c>
      <c r="I7" s="61" t="n">
        <f aca="false">IF(I4=0,0,I6/I4)</f>
        <v>0.251</v>
      </c>
      <c r="J7" s="61" t="n">
        <f aca="false">IF(J4=0,0,J6/J4)</f>
        <v>0.253</v>
      </c>
      <c r="K7" s="61" t="n">
        <f aca="false">IF(K4=0,0,K6/K4)</f>
        <v>0.255</v>
      </c>
      <c r="L7" s="61" t="n">
        <f aca="false">IF(L4=0,0,L6/L4)</f>
        <v>0.257</v>
      </c>
      <c r="M7" s="61" t="n">
        <f aca="false">IF(M4=0,0,M6/M4)</f>
        <v>0.259</v>
      </c>
    </row>
    <row r="8" customFormat="false" ht="15" hidden="false" customHeight="true" outlineLevel="0" collapsed="false">
      <c r="A8" s="55" t="s">
        <v>67</v>
      </c>
      <c r="B8" s="52" t="n">
        <v>108791</v>
      </c>
      <c r="C8" s="52" t="n">
        <v>116288</v>
      </c>
      <c r="D8" s="52" t="n">
        <v>117812</v>
      </c>
      <c r="E8" s="52" t="n">
        <v>127140</v>
      </c>
      <c r="F8" s="52" t="n">
        <v>130971</v>
      </c>
      <c r="G8" s="52" t="n">
        <v>139884</v>
      </c>
      <c r="H8" s="52" t="n">
        <v>147943</v>
      </c>
      <c r="I8" s="56" t="n">
        <f aca="false">I4*Assumptions!B7</f>
        <v>152777.343675</v>
      </c>
      <c r="J8" s="56" t="n">
        <f aca="false">J4*Assumptions!C7</f>
        <v>158094.740490225</v>
      </c>
      <c r="K8" s="56" t="n">
        <f aca="false">K4*Assumptions!D7</f>
        <v>163268.254584198</v>
      </c>
      <c r="L8" s="56" t="n">
        <f aca="false">L4*Assumptions!E7</f>
        <v>168109.442630575</v>
      </c>
      <c r="M8" s="56" t="n">
        <f aca="false">M4*Assumptions!F7</f>
        <v>172743.856712341</v>
      </c>
    </row>
    <row r="9" customFormat="false" ht="15" hidden="false" customHeight="true" outlineLevel="0" collapsed="false">
      <c r="A9" s="55" t="s">
        <v>68</v>
      </c>
      <c r="B9" s="62" t="n">
        <f aca="false">B8</f>
        <v>108791</v>
      </c>
      <c r="C9" s="62" t="n">
        <f aca="false">C8</f>
        <v>116288</v>
      </c>
      <c r="D9" s="62" t="n">
        <f aca="false">D8</f>
        <v>117812</v>
      </c>
      <c r="E9" s="62" t="n">
        <f aca="false">E8</f>
        <v>127140</v>
      </c>
      <c r="F9" s="62" t="n">
        <f aca="false">F8</f>
        <v>130971</v>
      </c>
      <c r="G9" s="62" t="n">
        <f aca="false">G8</f>
        <v>139884</v>
      </c>
      <c r="H9" s="62" t="n">
        <f aca="false">H8</f>
        <v>147943</v>
      </c>
      <c r="I9" s="56" t="n">
        <f aca="false">I8</f>
        <v>152777.343675</v>
      </c>
      <c r="J9" s="56" t="n">
        <f aca="false">J8</f>
        <v>158094.740490225</v>
      </c>
      <c r="K9" s="56" t="n">
        <f aca="false">K8</f>
        <v>163268.254584198</v>
      </c>
      <c r="L9" s="56" t="n">
        <f aca="false">L8</f>
        <v>168109.442630575</v>
      </c>
      <c r="M9" s="56" t="n">
        <f aca="false">M8</f>
        <v>172743.856712341</v>
      </c>
    </row>
    <row r="10" customFormat="false" ht="15" hidden="false" customHeight="true" outlineLevel="0" collapsed="false">
      <c r="A10" s="57" t="s">
        <v>30</v>
      </c>
      <c r="B10" s="58" t="n">
        <f aca="false">B6-B9</f>
        <v>20568</v>
      </c>
      <c r="C10" s="58" t="n">
        <f aca="false">C6-C9</f>
        <v>22548</v>
      </c>
      <c r="D10" s="58" t="n">
        <f aca="false">D6-D9</f>
        <v>25942</v>
      </c>
      <c r="E10" s="58" t="n">
        <f aca="false">E6-E9</f>
        <v>20428</v>
      </c>
      <c r="F10" s="58" t="n">
        <f aca="false">F6-F9</f>
        <v>27012</v>
      </c>
      <c r="G10" s="58" t="n">
        <f aca="false">G6-G9</f>
        <v>29348</v>
      </c>
      <c r="H10" s="58" t="n">
        <f aca="false">H6-H9</f>
        <v>29825</v>
      </c>
      <c r="I10" s="59" t="n">
        <f aca="false">I6-I9</f>
        <v>34281.74541</v>
      </c>
      <c r="J10" s="59" t="n">
        <f aca="false">J6-J9</f>
        <v>38939.5912537499</v>
      </c>
      <c r="K10" s="59" t="n">
        <f aca="false">K6-K9</f>
        <v>43863.1131718741</v>
      </c>
      <c r="L10" s="59" t="n">
        <f aca="false">L6-L9</f>
        <v>48996.7219727305</v>
      </c>
      <c r="M10" s="59" t="n">
        <f aca="false">M6-M9</f>
        <v>54366.086884087</v>
      </c>
    </row>
    <row r="11" customFormat="false" ht="15" hidden="false" customHeight="true" outlineLevel="0" collapsed="false">
      <c r="A11" s="55" t="s">
        <v>69</v>
      </c>
      <c r="B11" s="60" t="n">
        <f aca="false">B10/B4</f>
        <v>0.0392546052782252</v>
      </c>
      <c r="C11" s="60" t="n">
        <f aca="false">C10/C4</f>
        <v>0.0403254219343254</v>
      </c>
      <c r="D11" s="60" t="n">
        <f aca="false">D10/D4</f>
        <v>0.045293441861602</v>
      </c>
      <c r="E11" s="60" t="n">
        <f aca="false">E10/E4</f>
        <v>0.0334179087142088</v>
      </c>
      <c r="F11" s="60" t="n">
        <f aca="false">F10/F4</f>
        <v>0.0416771456123433</v>
      </c>
      <c r="G11" s="60" t="n">
        <f aca="false">G10/G4</f>
        <v>0.043096397130627</v>
      </c>
      <c r="H11" s="60" t="n">
        <f aca="false">H10/H4</f>
        <v>0.0418207338294331</v>
      </c>
      <c r="I11" s="61" t="n">
        <f aca="false">IF(I4=0,0,I10/I4)</f>
        <v>0.046</v>
      </c>
      <c r="J11" s="61" t="n">
        <f aca="false">IF(J4=0,0,J10/J4)</f>
        <v>0.0499999999999999</v>
      </c>
      <c r="K11" s="61" t="n">
        <f aca="false">IF(K4=0,0,K10/K4)</f>
        <v>0.054</v>
      </c>
      <c r="L11" s="61" t="n">
        <f aca="false">IF(L4=0,0,L10/L4)</f>
        <v>0.058</v>
      </c>
      <c r="M11" s="61" t="n">
        <f aca="false">IF(M4=0,0,M10/M4)</f>
        <v>0.0619999999999999</v>
      </c>
    </row>
    <row r="12" customFormat="false" ht="15" hidden="false" customHeight="true" outlineLevel="0" collapsed="false">
      <c r="A12" s="55" t="s">
        <v>70</v>
      </c>
      <c r="B12" s="52" t="n">
        <v>-452</v>
      </c>
      <c r="C12" s="52" t="n">
        <v>-1984</v>
      </c>
      <c r="D12" s="52" t="n">
        <v>-7246</v>
      </c>
      <c r="E12" s="52" t="n">
        <v>-3412</v>
      </c>
      <c r="F12" s="52" t="n">
        <v>-5164</v>
      </c>
      <c r="G12" s="52" t="n">
        <v>-3039</v>
      </c>
      <c r="H12" s="52" t="n">
        <v>-356</v>
      </c>
      <c r="I12" s="56" t="n">
        <f aca="false">Assumptions!B13</f>
        <v>-356</v>
      </c>
      <c r="J12" s="56" t="n">
        <f aca="false">Assumptions!C13</f>
        <v>-356</v>
      </c>
      <c r="K12" s="56" t="n">
        <f aca="false">Assumptions!D13</f>
        <v>-356</v>
      </c>
      <c r="L12" s="56" t="n">
        <f aca="false">Assumptions!E13</f>
        <v>-356</v>
      </c>
      <c r="M12" s="56" t="n">
        <f aca="false">Assumptions!F13</f>
        <v>-356</v>
      </c>
    </row>
    <row r="13" customFormat="false" ht="15" hidden="false" customHeight="true" outlineLevel="0" collapsed="false">
      <c r="A13" s="51" t="s">
        <v>71</v>
      </c>
      <c r="B13" s="63" t="n">
        <f aca="false">B10+B12</f>
        <v>20116</v>
      </c>
      <c r="C13" s="63" t="n">
        <f aca="false">C10+C12</f>
        <v>20564</v>
      </c>
      <c r="D13" s="63" t="n">
        <f aca="false">D10+D12</f>
        <v>18696</v>
      </c>
      <c r="E13" s="63" t="n">
        <f aca="false">E10+E12</f>
        <v>17016</v>
      </c>
      <c r="F13" s="63" t="n">
        <f aca="false">F10+F12</f>
        <v>21848</v>
      </c>
      <c r="G13" s="63" t="n">
        <f aca="false">G10+G12</f>
        <v>26309</v>
      </c>
      <c r="H13" s="63" t="n">
        <f aca="false">H10+H12</f>
        <v>29469</v>
      </c>
      <c r="I13" s="53" t="n">
        <f aca="false">I10+I12</f>
        <v>33925.74541</v>
      </c>
      <c r="J13" s="53" t="n">
        <f aca="false">J10+J12</f>
        <v>38583.5912537499</v>
      </c>
      <c r="K13" s="53" t="n">
        <f aca="false">K10+K12</f>
        <v>43507.1131718741</v>
      </c>
      <c r="L13" s="53" t="n">
        <f aca="false">L10+L12</f>
        <v>48640.7219727305</v>
      </c>
      <c r="M13" s="53" t="n">
        <f aca="false">M10+M12</f>
        <v>54010.086884087</v>
      </c>
    </row>
    <row r="14" customFormat="false" ht="15" hidden="false" customHeight="true" outlineLevel="0" collapsed="false">
      <c r="A14" s="55" t="s">
        <v>72</v>
      </c>
      <c r="B14" s="52" t="n">
        <v>4915</v>
      </c>
      <c r="C14" s="52" t="n">
        <v>6858</v>
      </c>
      <c r="D14" s="52" t="n">
        <v>4756</v>
      </c>
      <c r="E14" s="52" t="n">
        <v>5724</v>
      </c>
      <c r="F14" s="52" t="n">
        <v>5578</v>
      </c>
      <c r="G14" s="52" t="n">
        <v>6152</v>
      </c>
      <c r="H14" s="52" t="n">
        <v>7199</v>
      </c>
      <c r="I14" s="56" t="n">
        <f aca="false">I13*Assumptions!B10</f>
        <v>8481.4363525</v>
      </c>
      <c r="J14" s="56" t="n">
        <f aca="false">J13*Assumptions!C10</f>
        <v>9645.89781343749</v>
      </c>
      <c r="K14" s="56" t="n">
        <f aca="false">K13*Assumptions!D10</f>
        <v>10876.7782929685</v>
      </c>
      <c r="L14" s="56" t="n">
        <f aca="false">L13*Assumptions!E10</f>
        <v>12160.1804931826</v>
      </c>
      <c r="M14" s="56" t="n">
        <f aca="false">M13*Assumptions!F10</f>
        <v>13502.5217210217</v>
      </c>
    </row>
    <row r="15" customFormat="false" ht="15" hidden="false" customHeight="true" outlineLevel="0" collapsed="false">
      <c r="A15" s="55" t="s">
        <v>73</v>
      </c>
      <c r="B15" s="60" t="n">
        <f aca="false">IF(B13=0,0,B14/B13)</f>
        <v>0.244332869357725</v>
      </c>
      <c r="C15" s="60" t="n">
        <f aca="false">IF(C13=0,0,C14/C13)</f>
        <v>0.333495428904882</v>
      </c>
      <c r="D15" s="60" t="n">
        <f aca="false">IF(D13=0,0,D14/D13)</f>
        <v>0.254385964912281</v>
      </c>
      <c r="E15" s="60" t="n">
        <f aca="false">IF(E13=0,0,E14/E13)</f>
        <v>0.33638928067701</v>
      </c>
      <c r="F15" s="60" t="n">
        <f aca="false">IF(F13=0,0,F14/F13)</f>
        <v>0.255309410472354</v>
      </c>
      <c r="G15" s="60" t="n">
        <f aca="false">IF(G13=0,0,G14/G13)</f>
        <v>0.233836329773081</v>
      </c>
      <c r="H15" s="60" t="n">
        <f aca="false">IF(H13=0,0,H14/H13)</f>
        <v>0.244290610472021</v>
      </c>
      <c r="I15" s="61" t="n">
        <f aca="false">IF(I13=0,0,I14/I13)</f>
        <v>0.25</v>
      </c>
      <c r="J15" s="61" t="n">
        <f aca="false">IF(J13=0,0,J14/J13)</f>
        <v>0.25</v>
      </c>
      <c r="K15" s="61" t="n">
        <f aca="false">IF(K13=0,0,K14/K13)</f>
        <v>0.25</v>
      </c>
      <c r="L15" s="61" t="n">
        <f aca="false">IF(L13=0,0,L14/L13)</f>
        <v>0.25</v>
      </c>
      <c r="M15" s="61" t="n">
        <f aca="false">IF(M13=0,0,M14/M13)</f>
        <v>0.25</v>
      </c>
    </row>
    <row r="16" customFormat="false" ht="15" hidden="false" customHeight="true" outlineLevel="0" collapsed="false">
      <c r="A16" s="57" t="s">
        <v>34</v>
      </c>
      <c r="B16" s="58" t="n">
        <f aca="false">B13-B14</f>
        <v>15201</v>
      </c>
      <c r="C16" s="58" t="n">
        <f aca="false">C13-C14</f>
        <v>13706</v>
      </c>
      <c r="D16" s="58" t="n">
        <f aca="false">D13-D14</f>
        <v>13940</v>
      </c>
      <c r="E16" s="58" t="n">
        <f aca="false">E13-E14</f>
        <v>11292</v>
      </c>
      <c r="F16" s="58" t="n">
        <f aca="false">F13-F14</f>
        <v>16270</v>
      </c>
      <c r="G16" s="58" t="n">
        <f aca="false">G13-G14</f>
        <v>20157</v>
      </c>
      <c r="H16" s="58" t="n">
        <f aca="false">H13-H14</f>
        <v>22270</v>
      </c>
      <c r="I16" s="59" t="n">
        <f aca="false">I13-I14</f>
        <v>25444.3090575</v>
      </c>
      <c r="J16" s="59" t="n">
        <f aca="false">J13-J14</f>
        <v>28937.6934403125</v>
      </c>
      <c r="K16" s="59" t="n">
        <f aca="false">K13-K14</f>
        <v>32630.3348789056</v>
      </c>
      <c r="L16" s="59" t="n">
        <f aca="false">L13-L14</f>
        <v>36480.5414795479</v>
      </c>
      <c r="M16" s="59" t="n">
        <f aca="false">M13-M14</f>
        <v>40507.5651630652</v>
      </c>
    </row>
    <row r="17" customFormat="false" ht="15" hidden="false" customHeight="true" outlineLevel="0" collapsed="false">
      <c r="A17" s="55" t="s">
        <v>74</v>
      </c>
      <c r="B17" s="60" t="n">
        <f aca="false">B16/B4</f>
        <v>0.0290115351436358</v>
      </c>
      <c r="C17" s="60" t="n">
        <f aca="false">C16/C4</f>
        <v>0.0245121621887469</v>
      </c>
      <c r="D17" s="60" t="n">
        <f aca="false">D16/D4</f>
        <v>0.0243385467408346</v>
      </c>
      <c r="E17" s="60" t="n">
        <f aca="false">E16/E4</f>
        <v>0.0184724410221679</v>
      </c>
      <c r="F17" s="60" t="n">
        <f aca="false">F16/F4</f>
        <v>0.0251031822565092</v>
      </c>
      <c r="G17" s="60" t="n">
        <f aca="false">G16/G4</f>
        <v>0.0295997709200643</v>
      </c>
      <c r="H17" s="60" t="n">
        <f aca="false">H16/H4</f>
        <v>0.0312270827286329</v>
      </c>
      <c r="I17" s="61" t="n">
        <f aca="false">IF(I4=0,0,I16/I4)</f>
        <v>0.0341417335274762</v>
      </c>
      <c r="J17" s="61" t="n">
        <f aca="false">IF(J4=0,0,J16/J4)</f>
        <v>0.0371571612703121</v>
      </c>
      <c r="K17" s="61" t="n">
        <f aca="false">IF(K4=0,0,K16/K4)</f>
        <v>0.0401712955611813</v>
      </c>
      <c r="L17" s="61" t="n">
        <f aca="false">IF(L4=0,0,L16/L4)</f>
        <v>0.0431839380395975</v>
      </c>
      <c r="M17" s="61" t="n">
        <f aca="false">IF(M4=0,0,M16/M4)</f>
        <v>0.046195508708668</v>
      </c>
    </row>
    <row r="18" customFormat="false" ht="15" hidden="false" customHeight="true" outlineLevel="0" collapsed="false">
      <c r="A18" s="57" t="s">
        <v>32</v>
      </c>
      <c r="B18" s="64" t="n">
        <v>31555</v>
      </c>
      <c r="C18" s="64" t="n">
        <v>33700</v>
      </c>
      <c r="D18" s="64" t="n">
        <v>36600</v>
      </c>
      <c r="E18" s="64" t="n">
        <v>31373</v>
      </c>
      <c r="F18" s="64" t="n">
        <v>38865</v>
      </c>
      <c r="G18" s="64" t="n">
        <v>42321</v>
      </c>
      <c r="H18" s="64" t="n">
        <v>44028</v>
      </c>
      <c r="I18" s="59" t="n">
        <f aca="false">I10+I20</f>
        <v>49186.85211</v>
      </c>
      <c r="J18" s="59" t="n">
        <f aca="false">J10+J20</f>
        <v>54515.4277552499</v>
      </c>
      <c r="K18" s="59" t="n">
        <f aca="false">K10+K20</f>
        <v>60108.7106429386</v>
      </c>
      <c r="L18" s="59" t="n">
        <f aca="false">L10+L20</f>
        <v>65892.1433426376</v>
      </c>
      <c r="M18" s="59" t="n">
        <f aca="false">M10+M20</f>
        <v>71903.5342660505</v>
      </c>
    </row>
    <row r="19" customFormat="false" ht="15" hidden="false" customHeight="true" outlineLevel="0" collapsed="false">
      <c r="A19" s="55" t="s">
        <v>33</v>
      </c>
      <c r="B19" s="60" t="n">
        <f aca="false">B18/B4</f>
        <v>0.0602236031483079</v>
      </c>
      <c r="C19" s="60" t="n">
        <f aca="false">C18/C4</f>
        <v>0.0602699449701422</v>
      </c>
      <c r="D19" s="60" t="n">
        <f aca="false">D18/D4</f>
        <v>0.0639017798217036</v>
      </c>
      <c r="E19" s="60" t="n">
        <f aca="false">E18/E4</f>
        <v>0.0513226967931698</v>
      </c>
      <c r="F19" s="60" t="n">
        <f aca="false">F18/F4</f>
        <v>0.0599652844744455</v>
      </c>
      <c r="G19" s="60" t="n">
        <f aca="false">G18/G4</f>
        <v>0.0621467433203375</v>
      </c>
      <c r="H19" s="60" t="n">
        <f aca="false">H18/H4</f>
        <v>0.0617362370173439</v>
      </c>
      <c r="I19" s="61" t="n">
        <f aca="false">IF(I4=0,0,I18/I4)</f>
        <v>0.066</v>
      </c>
      <c r="J19" s="61" t="n">
        <f aca="false">IF(J4=0,0,J18/J4)</f>
        <v>0.0699999999999999</v>
      </c>
      <c r="K19" s="61" t="n">
        <f aca="false">IF(K4=0,0,K18/K4)</f>
        <v>0.074</v>
      </c>
      <c r="L19" s="61" t="n">
        <f aca="false">IF(L4=0,0,L18/L4)</f>
        <v>0.078</v>
      </c>
      <c r="M19" s="61" t="n">
        <f aca="false">IF(M4=0,0,M18/M4)</f>
        <v>0.082</v>
      </c>
    </row>
    <row r="20" customFormat="false" ht="15" hidden="false" customHeight="true" outlineLevel="0" collapsed="false">
      <c r="A20" s="55" t="s">
        <v>75</v>
      </c>
      <c r="B20" s="52" t="n">
        <v>10987</v>
      </c>
      <c r="C20" s="52" t="n">
        <v>11152</v>
      </c>
      <c r="D20" s="52" t="n">
        <v>10658</v>
      </c>
      <c r="E20" s="52" t="n">
        <v>10945</v>
      </c>
      <c r="F20" s="52" t="n">
        <v>11853</v>
      </c>
      <c r="G20" s="52" t="n">
        <v>12973</v>
      </c>
      <c r="H20" s="52" t="n">
        <v>14203</v>
      </c>
      <c r="I20" s="56" t="n">
        <f aca="false">I4*Assumptions!B12</f>
        <v>14905.1067</v>
      </c>
      <c r="J20" s="56" t="n">
        <f aca="false">J4*Assumptions!C12</f>
        <v>15575.8365015</v>
      </c>
      <c r="K20" s="56" t="n">
        <f aca="false">K4*Assumptions!D12</f>
        <v>16245.5974710645</v>
      </c>
      <c r="L20" s="56" t="n">
        <f aca="false">L4*Assumptions!E12</f>
        <v>16895.4213699071</v>
      </c>
      <c r="M20" s="56" t="n">
        <f aca="false">M4*Assumptions!F12</f>
        <v>17537.4473819636</v>
      </c>
    </row>
    <row r="21" customFormat="false" ht="15" hidden="false" customHeight="true" outlineLevel="0" collapsed="false">
      <c r="A21" s="55" t="s">
        <v>76</v>
      </c>
      <c r="B21" s="65" t="n">
        <v>8604</v>
      </c>
      <c r="C21" s="65" t="n">
        <v>8541</v>
      </c>
      <c r="D21" s="65" t="n">
        <v>8415</v>
      </c>
      <c r="E21" s="65" t="n">
        <v>8108</v>
      </c>
      <c r="F21" s="65" t="n">
        <v>8081</v>
      </c>
      <c r="G21" s="65" t="n">
        <v>8041</v>
      </c>
      <c r="H21" s="65" t="n">
        <v>8022</v>
      </c>
      <c r="I21" s="66" t="n">
        <f aca="false">Assumptions!B11</f>
        <v>7950</v>
      </c>
      <c r="J21" s="66" t="n">
        <f aca="false">Assumptions!C11</f>
        <v>7880</v>
      </c>
      <c r="K21" s="66" t="n">
        <f aca="false">Assumptions!D11</f>
        <v>7810</v>
      </c>
      <c r="L21" s="66" t="n">
        <f aca="false">Assumptions!E11</f>
        <v>7740</v>
      </c>
      <c r="M21" s="66" t="n">
        <f aca="false">Assumptions!F11</f>
        <v>7670</v>
      </c>
    </row>
    <row r="22" customFormat="false" ht="15" hidden="false" customHeight="true" outlineLevel="0" collapsed="false">
      <c r="A22" s="55" t="s">
        <v>35</v>
      </c>
      <c r="B22" s="67" t="n">
        <v>1.73</v>
      </c>
      <c r="C22" s="67" t="n">
        <v>1.58</v>
      </c>
      <c r="D22" s="67" t="n">
        <v>1.62</v>
      </c>
      <c r="E22" s="67" t="n">
        <v>1.42</v>
      </c>
      <c r="F22" s="67" t="n">
        <v>1.91</v>
      </c>
      <c r="G22" s="67" t="n">
        <v>2.41</v>
      </c>
      <c r="H22" s="67" t="n">
        <v>2.73</v>
      </c>
      <c r="I22" s="68" t="n">
        <f aca="false">IF(I21=0,0,I16/I21)</f>
        <v>3.20054201981132</v>
      </c>
      <c r="J22" s="68" t="n">
        <f aca="false">IF(J21=0,0,J16/J21)</f>
        <v>3.67229612186706</v>
      </c>
      <c r="K22" s="68" t="n">
        <f aca="false">IF(K21=0,0,K16/K21)</f>
        <v>4.17801983084579</v>
      </c>
      <c r="L22" s="68" t="n">
        <f aca="false">IF(L21=0,0,L16/L21)</f>
        <v>4.71324825317156</v>
      </c>
      <c r="M22" s="68" t="n">
        <f aca="false">IF(M21=0,0,M16/M21)</f>
        <v>5.28129923899155</v>
      </c>
    </row>
    <row r="25" customFormat="false" ht="15" hidden="false" customHeight="true" outlineLevel="0" collapsed="false">
      <c r="A25" s="69" t="s">
        <v>77</v>
      </c>
      <c r="B25" s="70" t="s">
        <v>78</v>
      </c>
      <c r="D25" s="71" t="s">
        <v>79</v>
      </c>
      <c r="F25" s="72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3" activeCellId="0" sqref="A3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7" min="2" style="1" width="13"/>
  </cols>
  <sheetData>
    <row r="1" customFormat="false" ht="16.5" hidden="false" customHeight="true" outlineLevel="0" collapsed="false">
      <c r="A1" s="45" t="s">
        <v>81</v>
      </c>
    </row>
    <row r="2" customFormat="false" ht="15" hidden="false" customHeight="true" outlineLevel="0" collapsed="false">
      <c r="A2" s="46" t="s">
        <v>82</v>
      </c>
    </row>
    <row r="3" customFormat="false" ht="18" hidden="false" customHeight="true" outlineLevel="0" collapsed="false">
      <c r="A3" s="47" t="s">
        <v>18</v>
      </c>
      <c r="B3" s="48" t="s">
        <v>59</v>
      </c>
      <c r="C3" s="48" t="s">
        <v>60</v>
      </c>
      <c r="D3" s="48" t="s">
        <v>61</v>
      </c>
      <c r="E3" s="48" t="s">
        <v>62</v>
      </c>
      <c r="F3" s="48" t="s">
        <v>63</v>
      </c>
      <c r="G3" s="48" t="s">
        <v>64</v>
      </c>
    </row>
    <row r="4" customFormat="false" ht="15" hidden="false" customHeight="true" outlineLevel="0" collapsed="false">
      <c r="A4" s="73" t="s">
        <v>83</v>
      </c>
      <c r="B4" s="74"/>
      <c r="C4" s="74"/>
      <c r="D4" s="74"/>
      <c r="E4" s="74"/>
      <c r="F4" s="74"/>
      <c r="G4" s="74"/>
    </row>
    <row r="5" customFormat="false" ht="15" hidden="false" customHeight="true" outlineLevel="0" collapsed="false">
      <c r="A5" s="55" t="s">
        <v>84</v>
      </c>
      <c r="B5" s="52" t="n">
        <v>9465</v>
      </c>
      <c r="C5" s="52" t="n">
        <v>17741</v>
      </c>
      <c r="D5" s="52" t="n">
        <v>14760</v>
      </c>
      <c r="E5" s="52" t="n">
        <v>8625</v>
      </c>
      <c r="F5" s="52" t="n">
        <v>9867</v>
      </c>
      <c r="G5" s="52" t="n">
        <v>9037</v>
      </c>
    </row>
    <row r="6" customFormat="false" ht="15" hidden="false" customHeight="true" outlineLevel="0" collapsed="false">
      <c r="A6" s="55" t="s">
        <v>85</v>
      </c>
      <c r="B6" s="52" t="n">
        <v>6284</v>
      </c>
      <c r="C6" s="52" t="n">
        <v>6516</v>
      </c>
      <c r="D6" s="52" t="n">
        <v>8280</v>
      </c>
      <c r="E6" s="52" t="n">
        <v>7933</v>
      </c>
      <c r="F6" s="52" t="n">
        <v>8796</v>
      </c>
      <c r="G6" s="52" t="n">
        <v>9975</v>
      </c>
    </row>
    <row r="7" customFormat="false" ht="15" hidden="false" customHeight="true" outlineLevel="0" collapsed="false">
      <c r="A7" s="55" t="s">
        <v>86</v>
      </c>
      <c r="B7" s="52" t="n">
        <v>44435</v>
      </c>
      <c r="C7" s="52" t="n">
        <v>44949</v>
      </c>
      <c r="D7" s="52" t="n">
        <v>56511</v>
      </c>
      <c r="E7" s="52" t="n">
        <v>56576</v>
      </c>
      <c r="F7" s="52" t="n">
        <v>54892</v>
      </c>
      <c r="G7" s="52" t="n">
        <v>56435</v>
      </c>
    </row>
    <row r="8" customFormat="false" ht="15" hidden="false" customHeight="true" outlineLevel="0" collapsed="false">
      <c r="A8" s="55" t="s">
        <v>87</v>
      </c>
      <c r="B8" s="52" t="n">
        <v>1622</v>
      </c>
      <c r="C8" s="52" t="n">
        <v>20861</v>
      </c>
      <c r="D8" s="52" t="n">
        <v>1519</v>
      </c>
      <c r="E8" s="52" t="n">
        <v>2521</v>
      </c>
      <c r="F8" s="52" t="n">
        <v>3322</v>
      </c>
      <c r="G8" s="52" t="n">
        <v>4011</v>
      </c>
    </row>
    <row r="9" customFormat="false" ht="15" hidden="false" customHeight="true" outlineLevel="0" collapsed="false">
      <c r="A9" s="57" t="s">
        <v>88</v>
      </c>
      <c r="B9" s="75" t="n">
        <v>61806</v>
      </c>
      <c r="C9" s="75" t="n">
        <v>90067</v>
      </c>
      <c r="D9" s="75" t="n">
        <v>81070</v>
      </c>
      <c r="E9" s="75" t="n">
        <v>75655</v>
      </c>
      <c r="F9" s="75" t="n">
        <v>76877</v>
      </c>
      <c r="G9" s="75" t="n">
        <v>79458</v>
      </c>
    </row>
    <row r="10" customFormat="false" ht="15" hidden="false" customHeight="true" outlineLevel="0" collapsed="false">
      <c r="A10" s="55" t="s">
        <v>89</v>
      </c>
      <c r="B10" s="52" t="n">
        <v>105208</v>
      </c>
      <c r="C10" s="52" t="n">
        <v>92201</v>
      </c>
      <c r="D10" s="52" t="n">
        <v>94515</v>
      </c>
      <c r="E10" s="52" t="n">
        <v>100760</v>
      </c>
      <c r="F10" s="52" t="n">
        <v>110810</v>
      </c>
      <c r="G10" s="52" t="n">
        <v>119993</v>
      </c>
    </row>
    <row r="11" customFormat="false" ht="15" hidden="false" customHeight="true" outlineLevel="0" collapsed="false">
      <c r="A11" s="55" t="s">
        <v>90</v>
      </c>
      <c r="B11" s="52" t="n">
        <v>31073</v>
      </c>
      <c r="C11" s="52" t="n">
        <v>28983</v>
      </c>
      <c r="D11" s="52" t="n">
        <v>29014</v>
      </c>
      <c r="E11" s="52" t="n">
        <v>28174</v>
      </c>
      <c r="F11" s="52" t="n">
        <v>28113</v>
      </c>
      <c r="G11" s="52" t="n">
        <v>28792</v>
      </c>
    </row>
    <row r="12" customFormat="false" ht="15" hidden="false" customHeight="true" outlineLevel="0" collapsed="false">
      <c r="A12" s="55" t="s">
        <v>91</v>
      </c>
      <c r="B12" s="52" t="n">
        <v>16567</v>
      </c>
      <c r="C12" s="52" t="n">
        <v>23598</v>
      </c>
      <c r="D12" s="52" t="n">
        <v>22152</v>
      </c>
      <c r="E12" s="52" t="n">
        <v>20134</v>
      </c>
      <c r="F12" s="52" t="n">
        <v>17071</v>
      </c>
      <c r="G12" s="52" t="n">
        <v>12869</v>
      </c>
    </row>
    <row r="13" customFormat="false" ht="15" hidden="false" customHeight="true" outlineLevel="0" collapsed="false">
      <c r="A13" s="57" t="s">
        <v>92</v>
      </c>
      <c r="B13" s="76" t="n">
        <f aca="false">B10+B11+B12</f>
        <v>152848</v>
      </c>
      <c r="C13" s="76" t="n">
        <f aca="false">C10+C11+C12</f>
        <v>144782</v>
      </c>
      <c r="D13" s="76" t="n">
        <f aca="false">D10+D11+D12</f>
        <v>145681</v>
      </c>
      <c r="E13" s="76" t="n">
        <f aca="false">E10+E11+E12</f>
        <v>149068</v>
      </c>
      <c r="F13" s="76" t="n">
        <f aca="false">F10+F11+F12</f>
        <v>155994</v>
      </c>
      <c r="G13" s="76" t="n">
        <f aca="false">G10+G11+G12</f>
        <v>161654</v>
      </c>
    </row>
    <row r="14" customFormat="false" ht="15" hidden="false" customHeight="true" outlineLevel="0" collapsed="false">
      <c r="A14" s="57" t="s">
        <v>93</v>
      </c>
      <c r="B14" s="75" t="n">
        <v>236495</v>
      </c>
      <c r="C14" s="75" t="n">
        <v>252496</v>
      </c>
      <c r="D14" s="75" t="n">
        <v>244860</v>
      </c>
      <c r="E14" s="75" t="n">
        <v>243197</v>
      </c>
      <c r="F14" s="75" t="n">
        <v>252399</v>
      </c>
      <c r="G14" s="75" t="n">
        <v>260823</v>
      </c>
    </row>
    <row r="15" customFormat="false" ht="15" hidden="false" customHeight="true" outlineLevel="0" collapsed="false">
      <c r="A15" s="73" t="s">
        <v>94</v>
      </c>
      <c r="B15" s="74"/>
      <c r="C15" s="74"/>
      <c r="D15" s="74"/>
      <c r="E15" s="74"/>
      <c r="F15" s="74"/>
      <c r="G15" s="74"/>
    </row>
    <row r="16" customFormat="false" ht="15" hidden="false" customHeight="true" outlineLevel="0" collapsed="false">
      <c r="A16" s="51" t="s">
        <v>95</v>
      </c>
      <c r="B16" s="52" t="n">
        <v>77790</v>
      </c>
      <c r="C16" s="52" t="n">
        <v>92645</v>
      </c>
      <c r="D16" s="52" t="n">
        <v>87379</v>
      </c>
      <c r="E16" s="52" t="n">
        <v>92198</v>
      </c>
      <c r="F16" s="52" t="n">
        <v>92415</v>
      </c>
      <c r="G16" s="52" t="n">
        <v>96584</v>
      </c>
    </row>
    <row r="17" customFormat="false" ht="15" hidden="false" customHeight="true" outlineLevel="0" collapsed="false">
      <c r="A17" s="55" t="s">
        <v>96</v>
      </c>
      <c r="B17" s="52" t="n">
        <v>48021</v>
      </c>
      <c r="C17" s="52" t="n">
        <v>45041</v>
      </c>
      <c r="D17" s="52" t="n">
        <v>39107</v>
      </c>
      <c r="E17" s="52" t="n">
        <v>39492</v>
      </c>
      <c r="F17" s="52" t="n">
        <v>41841</v>
      </c>
      <c r="G17" s="52" t="n">
        <v>39324</v>
      </c>
    </row>
    <row r="18" customFormat="false" ht="15" hidden="false" customHeight="true" outlineLevel="0" collapsed="false">
      <c r="A18" s="57" t="s">
        <v>97</v>
      </c>
      <c r="B18" s="75" t="n">
        <v>77153</v>
      </c>
      <c r="C18" s="75" t="n">
        <v>72320</v>
      </c>
      <c r="D18" s="75" t="n">
        <v>65590</v>
      </c>
      <c r="E18" s="75" t="n">
        <v>67245</v>
      </c>
      <c r="F18" s="75" t="n">
        <v>69635</v>
      </c>
      <c r="G18" s="75" t="n">
        <v>66818</v>
      </c>
    </row>
    <row r="19" customFormat="false" ht="15" hidden="false" customHeight="true" outlineLevel="0" collapsed="false">
      <c r="A19" s="57" t="s">
        <v>98</v>
      </c>
      <c r="B19" s="75" t="n">
        <v>154943</v>
      </c>
      <c r="C19" s="75" t="n">
        <v>164965</v>
      </c>
      <c r="D19" s="75" t="n">
        <v>152969</v>
      </c>
      <c r="E19" s="75" t="n">
        <v>159443</v>
      </c>
      <c r="F19" s="75" t="n">
        <v>162050</v>
      </c>
      <c r="G19" s="75" t="n">
        <v>163402</v>
      </c>
    </row>
    <row r="20" customFormat="false" ht="15" hidden="false" customHeight="true" outlineLevel="0" collapsed="false">
      <c r="A20" s="73" t="s">
        <v>99</v>
      </c>
      <c r="B20" s="74"/>
      <c r="C20" s="74"/>
      <c r="D20" s="74"/>
      <c r="E20" s="74"/>
      <c r="F20" s="74"/>
      <c r="G20" s="74"/>
    </row>
    <row r="21" customFormat="false" ht="15" hidden="false" customHeight="true" outlineLevel="0" collapsed="false">
      <c r="A21" s="55" t="s">
        <v>100</v>
      </c>
      <c r="B21" s="52" t="n">
        <v>284</v>
      </c>
      <c r="C21" s="52" t="n">
        <v>282</v>
      </c>
      <c r="D21" s="52" t="n">
        <v>276</v>
      </c>
      <c r="E21" s="52" t="n">
        <v>808</v>
      </c>
      <c r="F21" s="52" t="n">
        <v>805</v>
      </c>
      <c r="G21" s="52" t="n">
        <v>802</v>
      </c>
    </row>
    <row r="22" customFormat="false" ht="15" hidden="false" customHeight="true" outlineLevel="0" collapsed="false">
      <c r="A22" s="55" t="s">
        <v>101</v>
      </c>
      <c r="B22" s="52" t="n">
        <v>83943</v>
      </c>
      <c r="C22" s="52" t="n">
        <v>88763</v>
      </c>
      <c r="D22" s="52" t="n">
        <v>86904</v>
      </c>
      <c r="E22" s="52" t="n">
        <v>83135</v>
      </c>
      <c r="F22" s="52" t="n">
        <v>89814</v>
      </c>
      <c r="G22" s="52" t="n">
        <v>98313</v>
      </c>
    </row>
    <row r="23" customFormat="false" ht="15" hidden="false" customHeight="true" outlineLevel="0" collapsed="false">
      <c r="A23" s="55" t="s">
        <v>102</v>
      </c>
      <c r="B23" s="52" t="n">
        <v>-12805</v>
      </c>
      <c r="C23" s="52" t="n">
        <v>-11766</v>
      </c>
      <c r="D23" s="52" t="n">
        <v>-8766</v>
      </c>
      <c r="E23" s="52" t="n">
        <v>-11680</v>
      </c>
      <c r="F23" s="52" t="n">
        <v>-11302</v>
      </c>
      <c r="G23" s="52" t="n">
        <v>-13605</v>
      </c>
    </row>
    <row r="24" customFormat="false" ht="15" hidden="false" customHeight="true" outlineLevel="0" collapsed="false">
      <c r="A24" s="57" t="s">
        <v>103</v>
      </c>
      <c r="B24" s="75" t="n">
        <v>81552</v>
      </c>
      <c r="C24" s="75" t="n">
        <v>87531</v>
      </c>
      <c r="D24" s="75" t="n">
        <v>91891</v>
      </c>
      <c r="E24" s="75" t="n">
        <v>83754</v>
      </c>
      <c r="F24" s="75" t="n">
        <v>90349</v>
      </c>
      <c r="G24" s="75" t="n">
        <v>97421</v>
      </c>
    </row>
    <row r="25" customFormat="false" ht="15" hidden="false" customHeight="true" outlineLevel="0" collapsed="false">
      <c r="A25" s="57" t="s">
        <v>104</v>
      </c>
      <c r="B25" s="75" t="n">
        <v>236495</v>
      </c>
      <c r="C25" s="75" t="n">
        <v>252496</v>
      </c>
      <c r="D25" s="75" t="n">
        <v>244860</v>
      </c>
      <c r="E25" s="75" t="n">
        <v>243197</v>
      </c>
      <c r="F25" s="75" t="n">
        <v>252399</v>
      </c>
      <c r="G25" s="75" t="n">
        <v>260823</v>
      </c>
    </row>
    <row r="26" customFormat="false" ht="15" hidden="false" customHeight="true" outlineLevel="0" collapsed="false">
      <c r="A26" s="73" t="s">
        <v>105</v>
      </c>
      <c r="B26" s="74"/>
      <c r="C26" s="74"/>
      <c r="D26" s="74"/>
      <c r="E26" s="74"/>
      <c r="F26" s="74"/>
      <c r="G26" s="74"/>
    </row>
    <row r="27" customFormat="false" ht="15" hidden="false" customHeight="true" outlineLevel="0" collapsed="false">
      <c r="A27" s="55" t="s">
        <v>106</v>
      </c>
      <c r="B27" s="62" t="n">
        <f aca="false">B17-B5</f>
        <v>38556</v>
      </c>
      <c r="C27" s="62" t="n">
        <f aca="false">C17-C5</f>
        <v>27300</v>
      </c>
      <c r="D27" s="62" t="n">
        <f aca="false">D17-D5</f>
        <v>24347</v>
      </c>
      <c r="E27" s="62" t="n">
        <f aca="false">E17-E5</f>
        <v>30867</v>
      </c>
      <c r="F27" s="62" t="n">
        <f aca="false">F17-F5</f>
        <v>31974</v>
      </c>
      <c r="G27" s="62" t="n">
        <f aca="false">G17-G5</f>
        <v>30287</v>
      </c>
    </row>
    <row r="28" customFormat="false" ht="15" hidden="false" customHeight="true" outlineLevel="0" collapsed="false">
      <c r="A28" s="55" t="s">
        <v>107</v>
      </c>
      <c r="B28" s="77" t="n">
        <f aca="false">IF(B16=0,0,B9/B16)</f>
        <v>0.794523717701504</v>
      </c>
      <c r="C28" s="77" t="n">
        <f aca="false">IF(C16=0,0,C9/C16)</f>
        <v>0.972173349883966</v>
      </c>
      <c r="D28" s="77" t="n">
        <f aca="false">IF(D16=0,0,D9/D16)</f>
        <v>0.927797296833335</v>
      </c>
      <c r="E28" s="77" t="n">
        <f aca="false">IF(E16=0,0,E9/E16)</f>
        <v>0.820570945139808</v>
      </c>
      <c r="F28" s="77" t="n">
        <f aca="false">IF(F16=0,0,F9/F16)</f>
        <v>0.831867121138343</v>
      </c>
      <c r="G28" s="77" t="n">
        <f aca="false">IF(G16=0,0,G9/G16)</f>
        <v>0.822682846020045</v>
      </c>
    </row>
    <row r="29" customFormat="false" ht="15" hidden="false" customHeight="true" outlineLevel="0" collapsed="false">
      <c r="A29" s="55" t="s">
        <v>108</v>
      </c>
      <c r="B29" s="77" t="n">
        <f aca="false">IF(B24=0,0,B17/B24)</f>
        <v>0.588839022954679</v>
      </c>
      <c r="C29" s="77" t="n">
        <f aca="false">IF(C24=0,0,C17/C24)</f>
        <v>0.514571980212725</v>
      </c>
      <c r="D29" s="77" t="n">
        <f aca="false">IF(D24=0,0,D17/D24)</f>
        <v>0.425580307102981</v>
      </c>
      <c r="E29" s="77" t="n">
        <f aca="false">IF(E24=0,0,E17/E24)</f>
        <v>0.471523748119493</v>
      </c>
      <c r="F29" s="77" t="n">
        <f aca="false">IF(F24=0,0,F17/F24)</f>
        <v>0.463104184883065</v>
      </c>
      <c r="G29" s="77" t="n">
        <f aca="false">IF(G24=0,0,G17/G24)</f>
        <v>0.40365013703411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N5" activeCellId="0" sqref="N5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3" min="2" style="1" width="13"/>
  </cols>
  <sheetData>
    <row r="1" customFormat="false" ht="16.5" hidden="false" customHeight="true" outlineLevel="0" collapsed="false">
      <c r="A1" s="45" t="s">
        <v>109</v>
      </c>
    </row>
    <row r="2" customFormat="false" ht="15" hidden="false" customHeight="true" outlineLevel="0" collapsed="false">
      <c r="A2" s="46" t="s">
        <v>58</v>
      </c>
    </row>
    <row r="3" customFormat="false" ht="18" hidden="false" customHeight="true" outlineLevel="0" collapsed="false">
      <c r="A3" s="47" t="s">
        <v>18</v>
      </c>
      <c r="B3" s="48" t="s">
        <v>59</v>
      </c>
      <c r="C3" s="48" t="s">
        <v>60</v>
      </c>
      <c r="D3" s="48" t="s">
        <v>61</v>
      </c>
      <c r="E3" s="48" t="s">
        <v>62</v>
      </c>
      <c r="F3" s="48" t="s">
        <v>63</v>
      </c>
      <c r="G3" s="48" t="s">
        <v>64</v>
      </c>
      <c r="H3" s="48" t="s">
        <v>65</v>
      </c>
      <c r="I3" s="50" t="s">
        <v>22</v>
      </c>
      <c r="J3" s="50" t="s">
        <v>23</v>
      </c>
      <c r="K3" s="50" t="s">
        <v>24</v>
      </c>
      <c r="L3" s="50" t="s">
        <v>25</v>
      </c>
      <c r="M3" s="50" t="s">
        <v>26</v>
      </c>
    </row>
    <row r="4" customFormat="false" ht="15" hidden="false" customHeight="true" outlineLevel="0" collapsed="false">
      <c r="A4" s="73" t="s">
        <v>110</v>
      </c>
      <c r="B4" s="74"/>
      <c r="C4" s="74"/>
      <c r="D4" s="74"/>
      <c r="E4" s="74"/>
      <c r="F4" s="74"/>
      <c r="G4" s="74"/>
      <c r="H4" s="74"/>
      <c r="I4" s="78"/>
      <c r="J4" s="78"/>
      <c r="K4" s="78"/>
      <c r="L4" s="78"/>
      <c r="M4" s="78"/>
    </row>
    <row r="5" customFormat="false" ht="15" hidden="false" customHeight="true" outlineLevel="0" collapsed="false">
      <c r="A5" s="55" t="s">
        <v>111</v>
      </c>
      <c r="B5" s="52" t="n">
        <v>15201</v>
      </c>
      <c r="C5" s="52" t="n">
        <v>13706</v>
      </c>
      <c r="D5" s="52" t="n">
        <v>13940</v>
      </c>
      <c r="E5" s="52" t="n">
        <v>11292</v>
      </c>
      <c r="F5" s="52" t="n">
        <v>16270</v>
      </c>
      <c r="G5" s="52" t="n">
        <v>20157</v>
      </c>
      <c r="H5" s="52" t="n">
        <v>22270</v>
      </c>
      <c r="I5" s="56" t="n">
        <f aca="false">'Income Statement'!I16</f>
        <v>25444.3090575</v>
      </c>
      <c r="J5" s="56" t="n">
        <f aca="false">'Income Statement'!J16</f>
        <v>28937.6934403125</v>
      </c>
      <c r="K5" s="56" t="n">
        <f aca="false">'Income Statement'!K16</f>
        <v>32630.3348789056</v>
      </c>
      <c r="L5" s="56" t="n">
        <f aca="false">'Income Statement'!L16</f>
        <v>36480.5414795479</v>
      </c>
      <c r="M5" s="56" t="n">
        <f aca="false">'Income Statement'!M16</f>
        <v>40507.5651630652</v>
      </c>
    </row>
    <row r="6" customFormat="false" ht="15" hidden="false" customHeight="true" outlineLevel="0" collapsed="false">
      <c r="A6" s="55" t="s">
        <v>112</v>
      </c>
      <c r="B6" s="52" t="n">
        <v>10987</v>
      </c>
      <c r="C6" s="52" t="n">
        <v>11152</v>
      </c>
      <c r="D6" s="52" t="n">
        <v>10658</v>
      </c>
      <c r="E6" s="52" t="n">
        <v>10945</v>
      </c>
      <c r="F6" s="52" t="n">
        <v>11853</v>
      </c>
      <c r="G6" s="52" t="n">
        <v>12973</v>
      </c>
      <c r="H6" s="52" t="n">
        <v>14203</v>
      </c>
      <c r="I6" s="56" t="n">
        <f aca="false">'Income Statement'!I20</f>
        <v>14905.1067</v>
      </c>
      <c r="J6" s="56" t="n">
        <f aca="false">'Income Statement'!J20</f>
        <v>15575.8365015</v>
      </c>
      <c r="K6" s="56" t="n">
        <f aca="false">'Income Statement'!K20</f>
        <v>16245.5974710645</v>
      </c>
      <c r="L6" s="56" t="n">
        <f aca="false">'Income Statement'!L20</f>
        <v>16895.4213699071</v>
      </c>
      <c r="M6" s="56" t="n">
        <f aca="false">'Income Statement'!M20</f>
        <v>17537.4473819636</v>
      </c>
    </row>
    <row r="7" customFormat="false" ht="15" hidden="false" customHeight="true" outlineLevel="0" collapsed="false">
      <c r="A7" s="55" t="s">
        <v>113</v>
      </c>
      <c r="B7" s="52" t="n">
        <v>-2587</v>
      </c>
      <c r="C7" s="52" t="n">
        <v>1723</v>
      </c>
      <c r="D7" s="52" t="n">
        <v>4528</v>
      </c>
      <c r="E7" s="52" t="n">
        <v>2132</v>
      </c>
      <c r="F7" s="52" t="n">
        <v>3018</v>
      </c>
      <c r="G7" s="52" t="n">
        <v>243</v>
      </c>
      <c r="H7" s="52" t="n">
        <v>261</v>
      </c>
      <c r="I7" s="56" t="n">
        <f aca="false">Assumptions!B17</f>
        <v>500</v>
      </c>
      <c r="J7" s="56" t="n">
        <f aca="false">Assumptions!C17</f>
        <v>500</v>
      </c>
      <c r="K7" s="56" t="n">
        <f aca="false">Assumptions!D17</f>
        <v>500</v>
      </c>
      <c r="L7" s="56" t="n">
        <f aca="false">Assumptions!E17</f>
        <v>500</v>
      </c>
      <c r="M7" s="56" t="n">
        <f aca="false">Assumptions!F17</f>
        <v>500</v>
      </c>
    </row>
    <row r="8" customFormat="false" ht="15" hidden="false" customHeight="true" outlineLevel="0" collapsed="false">
      <c r="A8" s="55" t="s">
        <v>114</v>
      </c>
      <c r="B8" s="52" t="n">
        <v>-368</v>
      </c>
      <c r="C8" s="52" t="n">
        <v>-1086</v>
      </c>
      <c r="D8" s="52" t="n">
        <v>-1796</v>
      </c>
      <c r="E8" s="52" t="n">
        <v>240</v>
      </c>
      <c r="F8" s="52" t="n">
        <v>-797</v>
      </c>
      <c r="G8" s="52" t="n">
        <v>-1106</v>
      </c>
      <c r="H8" s="52" t="n">
        <v>-1136</v>
      </c>
      <c r="I8" s="56" t="n">
        <f aca="false">'Income Statement'!I4*Assumptions!B14</f>
        <v>-1117.8830025</v>
      </c>
      <c r="J8" s="56" t="n">
        <f aca="false">'Income Statement'!J4*Assumptions!C14</f>
        <v>-1168.1877376125</v>
      </c>
      <c r="K8" s="56" t="n">
        <f aca="false">'Income Statement'!K4*Assumptions!D14</f>
        <v>-1218.41981032984</v>
      </c>
      <c r="L8" s="56" t="n">
        <f aca="false">'Income Statement'!L4*Assumptions!E14</f>
        <v>-1267.15660274303</v>
      </c>
      <c r="M8" s="56" t="n">
        <f aca="false">'Income Statement'!M4*Assumptions!F14</f>
        <v>-1315.30855364727</v>
      </c>
    </row>
    <row r="9" customFormat="false" ht="15" hidden="false" customHeight="true" outlineLevel="0" collapsed="false">
      <c r="A9" s="55" t="s">
        <v>115</v>
      </c>
      <c r="B9" s="52" t="n">
        <v>-1311</v>
      </c>
      <c r="C9" s="52" t="n">
        <v>-2395</v>
      </c>
      <c r="D9" s="52" t="n">
        <v>-11764</v>
      </c>
      <c r="E9" s="52" t="n">
        <v>-528</v>
      </c>
      <c r="F9" s="52" t="n">
        <v>2017</v>
      </c>
      <c r="G9" s="52" t="n">
        <v>-2755</v>
      </c>
      <c r="H9" s="52" t="n">
        <v>-1443</v>
      </c>
      <c r="I9" s="56" t="n">
        <f aca="false">'Income Statement'!I4*Assumptions!B15</f>
        <v>-1490.51067</v>
      </c>
      <c r="J9" s="56" t="n">
        <f aca="false">'Income Statement'!J4*Assumptions!C15</f>
        <v>-1557.58365015</v>
      </c>
      <c r="K9" s="56" t="n">
        <f aca="false">'Income Statement'!K4*Assumptions!D15</f>
        <v>-1624.55974710645</v>
      </c>
      <c r="L9" s="56" t="n">
        <f aca="false">'Income Statement'!L4*Assumptions!E15</f>
        <v>-1689.54213699071</v>
      </c>
      <c r="M9" s="56" t="n">
        <f aca="false">'Income Statement'!M4*Assumptions!F15</f>
        <v>-1753.74473819635</v>
      </c>
    </row>
    <row r="10" customFormat="false" ht="15" hidden="false" customHeight="true" outlineLevel="0" collapsed="false">
      <c r="A10" s="55" t="s">
        <v>116</v>
      </c>
      <c r="B10" s="52" t="n">
        <v>1831</v>
      </c>
      <c r="C10" s="52" t="n">
        <v>6966</v>
      </c>
      <c r="D10" s="52" t="n">
        <v>5520</v>
      </c>
      <c r="E10" s="52" t="n">
        <v>-1425</v>
      </c>
      <c r="F10" s="52" t="n">
        <v>2515</v>
      </c>
      <c r="G10" s="52" t="n">
        <v>3228</v>
      </c>
      <c r="H10" s="52" t="n">
        <v>1611</v>
      </c>
      <c r="I10" s="56" t="n">
        <f aca="false">'Income Statement'!I4*Assumptions!B16</f>
        <v>2981.02134</v>
      </c>
      <c r="J10" s="56" t="n">
        <f aca="false">'Income Statement'!J4*Assumptions!C16</f>
        <v>3115.1673003</v>
      </c>
      <c r="K10" s="56" t="n">
        <f aca="false">'Income Statement'!K4*Assumptions!D16</f>
        <v>3249.1194942129</v>
      </c>
      <c r="L10" s="56" t="n">
        <f aca="false">'Income Statement'!L4*Assumptions!E16</f>
        <v>3379.08427398142</v>
      </c>
      <c r="M10" s="56" t="n">
        <f aca="false">'Income Statement'!M4*Assumptions!F16</f>
        <v>3507.48947639271</v>
      </c>
    </row>
    <row r="11" customFormat="false" ht="15" hidden="false" customHeight="true" outlineLevel="0" collapsed="false">
      <c r="A11" s="55" t="s">
        <v>117</v>
      </c>
      <c r="B11" s="52" t="n">
        <v>295</v>
      </c>
      <c r="C11" s="52" t="n">
        <v>7972</v>
      </c>
      <c r="D11" s="52" t="n">
        <v>-6597</v>
      </c>
      <c r="E11" s="52" t="n">
        <v>2553</v>
      </c>
      <c r="F11" s="52" t="n">
        <v>1943</v>
      </c>
      <c r="G11" s="52" t="n">
        <v>181</v>
      </c>
      <c r="H11" s="52" t="n">
        <v>752</v>
      </c>
      <c r="I11" s="56" t="n">
        <f aca="false">0</f>
        <v>0</v>
      </c>
      <c r="J11" s="56" t="n">
        <f aca="false">0</f>
        <v>0</v>
      </c>
      <c r="K11" s="56" t="n">
        <f aca="false">0</f>
        <v>0</v>
      </c>
      <c r="L11" s="56" t="n">
        <f aca="false">0</f>
        <v>0</v>
      </c>
      <c r="M11" s="56" t="n">
        <f aca="false">0</f>
        <v>0</v>
      </c>
    </row>
    <row r="12" customFormat="false" ht="15" hidden="false" customHeight="true" outlineLevel="0" collapsed="false">
      <c r="A12" s="57" t="s">
        <v>118</v>
      </c>
      <c r="B12" s="75" t="n">
        <v>25255</v>
      </c>
      <c r="C12" s="75" t="n">
        <v>36074</v>
      </c>
      <c r="D12" s="75" t="n">
        <v>24181</v>
      </c>
      <c r="E12" s="75" t="n">
        <v>28841</v>
      </c>
      <c r="F12" s="75" t="n">
        <v>35726</v>
      </c>
      <c r="G12" s="75" t="n">
        <v>36443</v>
      </c>
      <c r="H12" s="75" t="n">
        <v>41565</v>
      </c>
      <c r="I12" s="59" t="n">
        <f aca="false">SUM(I5:I11)</f>
        <v>41222.043425</v>
      </c>
      <c r="J12" s="59" t="n">
        <f aca="false">SUM(J5:J11)</f>
        <v>45402.92585435</v>
      </c>
      <c r="K12" s="59" t="n">
        <f aca="false">SUM(K5:K11)</f>
        <v>49782.0722867467</v>
      </c>
      <c r="L12" s="59" t="n">
        <f aca="false">SUM(L5:L11)</f>
        <v>54298.3483837027</v>
      </c>
      <c r="M12" s="59" t="n">
        <f aca="false">SUM(M5:M11)</f>
        <v>58983.4487295779</v>
      </c>
    </row>
    <row r="13" customFormat="false" ht="15" hidden="false" customHeight="true" outlineLevel="0" collapsed="false">
      <c r="A13" s="73" t="s">
        <v>119</v>
      </c>
      <c r="B13" s="74"/>
      <c r="C13" s="74"/>
      <c r="D13" s="74"/>
      <c r="E13" s="74"/>
      <c r="F13" s="74"/>
      <c r="G13" s="74"/>
      <c r="H13" s="74"/>
      <c r="I13" s="78"/>
      <c r="J13" s="78"/>
      <c r="K13" s="78"/>
      <c r="L13" s="78"/>
      <c r="M13" s="78"/>
    </row>
    <row r="14" customFormat="false" ht="15" hidden="false" customHeight="true" outlineLevel="0" collapsed="false">
      <c r="A14" s="55" t="s">
        <v>120</v>
      </c>
      <c r="B14" s="52" t="n">
        <v>-10384</v>
      </c>
      <c r="C14" s="52" t="n">
        <v>-10049</v>
      </c>
      <c r="D14" s="52" t="n">
        <v>-12712</v>
      </c>
      <c r="E14" s="52" t="n">
        <v>-16687</v>
      </c>
      <c r="F14" s="52" t="n">
        <v>-20356</v>
      </c>
      <c r="G14" s="52" t="n">
        <v>-23351</v>
      </c>
      <c r="H14" s="52" t="n">
        <v>-26536</v>
      </c>
      <c r="I14" s="56" t="n">
        <f aca="false">-'Income Statement'!I4*Assumptions!B9</f>
        <v>-27574.447395</v>
      </c>
      <c r="J14" s="56" t="n">
        <f aca="false">-'Income Statement'!J4*Assumptions!C9</f>
        <v>-28036.5057027</v>
      </c>
      <c r="K14" s="56" t="n">
        <f aca="false">-'Income Statement'!K4*Assumptions!D9</f>
        <v>-27617.5157008096</v>
      </c>
      <c r="L14" s="56" t="n">
        <f aca="false">-'Income Statement'!L4*Assumptions!E9</f>
        <v>-27032.6741918513</v>
      </c>
      <c r="M14" s="56" t="n">
        <f aca="false">-'Income Statement'!M4*Assumptions!F9</f>
        <v>-26306.1710729453</v>
      </c>
    </row>
    <row r="15" customFormat="false" ht="15" hidden="false" customHeight="true" outlineLevel="0" collapsed="false">
      <c r="A15" s="55" t="s">
        <v>121</v>
      </c>
      <c r="B15" s="52" t="n">
        <v>777</v>
      </c>
      <c r="C15" s="52" t="n">
        <v>-124</v>
      </c>
      <c r="D15" s="52" t="n">
        <v>7576</v>
      </c>
      <c r="E15" s="52" t="n">
        <v>-740</v>
      </c>
      <c r="F15" s="52" t="n">
        <v>-9</v>
      </c>
      <c r="G15" s="52" t="n">
        <v>2184</v>
      </c>
      <c r="H15" s="52" t="n">
        <v>-53</v>
      </c>
      <c r="I15" s="56" t="n">
        <f aca="false">0</f>
        <v>0</v>
      </c>
      <c r="J15" s="56" t="n">
        <f aca="false">0</f>
        <v>0</v>
      </c>
      <c r="K15" s="56" t="n">
        <f aca="false">0</f>
        <v>0</v>
      </c>
      <c r="L15" s="56" t="n">
        <f aca="false">0</f>
        <v>0</v>
      </c>
      <c r="M15" s="56" t="n">
        <f aca="false">0</f>
        <v>0</v>
      </c>
    </row>
    <row r="16" customFormat="false" ht="15" hidden="false" customHeight="true" outlineLevel="0" collapsed="false">
      <c r="A16" s="55" t="s">
        <v>122</v>
      </c>
      <c r="B16" s="52" t="n">
        <v>479</v>
      </c>
      <c r="C16" s="52" t="n">
        <v>102</v>
      </c>
      <c r="D16" s="52" t="n">
        <v>-879</v>
      </c>
      <c r="E16" s="52" t="n">
        <v>-295</v>
      </c>
      <c r="F16" s="52" t="n">
        <v>-922</v>
      </c>
      <c r="G16" s="52" t="n">
        <v>-212</v>
      </c>
      <c r="H16" s="52" t="n">
        <v>-688</v>
      </c>
      <c r="I16" s="56" t="n">
        <f aca="false">0</f>
        <v>0</v>
      </c>
      <c r="J16" s="56" t="n">
        <f aca="false">0</f>
        <v>0</v>
      </c>
      <c r="K16" s="56" t="n">
        <f aca="false">0</f>
        <v>0</v>
      </c>
      <c r="L16" s="56" t="n">
        <f aca="false">0</f>
        <v>0</v>
      </c>
      <c r="M16" s="56" t="n">
        <f aca="false">0</f>
        <v>0</v>
      </c>
    </row>
    <row r="17" customFormat="false" ht="15" hidden="false" customHeight="true" outlineLevel="0" collapsed="false">
      <c r="A17" s="57" t="s">
        <v>123</v>
      </c>
      <c r="B17" s="75" t="n">
        <v>-9128</v>
      </c>
      <c r="C17" s="75" t="n">
        <v>-10071</v>
      </c>
      <c r="D17" s="75" t="n">
        <v>-6015</v>
      </c>
      <c r="E17" s="75" t="n">
        <v>-17722</v>
      </c>
      <c r="F17" s="75" t="n">
        <v>-21287</v>
      </c>
      <c r="G17" s="75" t="n">
        <v>-21379</v>
      </c>
      <c r="H17" s="75" t="n">
        <v>-26350</v>
      </c>
      <c r="I17" s="59" t="n">
        <f aca="false">SUM(I14:I16)</f>
        <v>-27574.447395</v>
      </c>
      <c r="J17" s="59" t="n">
        <f aca="false">SUM(J14:J16)</f>
        <v>-28036.5057027</v>
      </c>
      <c r="K17" s="59" t="n">
        <f aca="false">SUM(K14:K16)</f>
        <v>-27617.5157008096</v>
      </c>
      <c r="L17" s="59" t="n">
        <f aca="false">SUM(L14:L16)</f>
        <v>-27032.6741918513</v>
      </c>
      <c r="M17" s="59" t="n">
        <f aca="false">SUM(M14:M16)</f>
        <v>-26306.1710729453</v>
      </c>
    </row>
    <row r="18" customFormat="false" ht="15" hidden="false" customHeight="true" outlineLevel="0" collapsed="false">
      <c r="A18" s="73" t="s">
        <v>124</v>
      </c>
      <c r="B18" s="74"/>
      <c r="C18" s="74"/>
      <c r="D18" s="74"/>
      <c r="E18" s="74"/>
      <c r="F18" s="74"/>
      <c r="G18" s="74"/>
      <c r="H18" s="74"/>
      <c r="I18" s="78"/>
      <c r="J18" s="78"/>
      <c r="K18" s="78"/>
      <c r="L18" s="78"/>
      <c r="M18" s="78"/>
    </row>
    <row r="19" customFormat="false" ht="15" hidden="false" customHeight="true" outlineLevel="0" collapsed="false">
      <c r="A19" s="55" t="s">
        <v>125</v>
      </c>
      <c r="B19" s="52" t="n">
        <v>-1071</v>
      </c>
      <c r="C19" s="52" t="n">
        <v>-5706</v>
      </c>
      <c r="D19" s="52" t="n">
        <v>-5872</v>
      </c>
      <c r="E19" s="52" t="n">
        <v>2318</v>
      </c>
      <c r="F19" s="52" t="n">
        <v>1262</v>
      </c>
      <c r="G19" s="52" t="n">
        <v>-1256</v>
      </c>
      <c r="H19" s="52" t="n">
        <v>4881</v>
      </c>
      <c r="I19" s="56" t="n">
        <f aca="false">0</f>
        <v>0</v>
      </c>
      <c r="J19" s="56" t="n">
        <f aca="false">0</f>
        <v>0</v>
      </c>
      <c r="K19" s="56" t="n">
        <f aca="false">0</f>
        <v>0</v>
      </c>
      <c r="L19" s="56" t="n">
        <f aca="false">0</f>
        <v>0</v>
      </c>
      <c r="M19" s="56" t="n">
        <f aca="false">0</f>
        <v>0</v>
      </c>
    </row>
    <row r="20" customFormat="false" ht="15" hidden="false" customHeight="true" outlineLevel="0" collapsed="false">
      <c r="A20" s="55" t="s">
        <v>126</v>
      </c>
      <c r="B20" s="52" t="n">
        <v>-5665</v>
      </c>
      <c r="C20" s="52" t="n">
        <v>-2485</v>
      </c>
      <c r="D20" s="52" t="n">
        <v>-6548</v>
      </c>
      <c r="E20" s="52" t="n">
        <v>-9854</v>
      </c>
      <c r="F20" s="52" t="n">
        <v>-2063</v>
      </c>
      <c r="G20" s="52" t="n">
        <v>-4132</v>
      </c>
      <c r="H20" s="52" t="n">
        <v>-8088</v>
      </c>
      <c r="I20" s="56" t="n">
        <f aca="false">Assumptions!B19</f>
        <v>-8000</v>
      </c>
      <c r="J20" s="56" t="n">
        <f aca="false">Assumptions!C19</f>
        <v>-8000</v>
      </c>
      <c r="K20" s="56" t="n">
        <f aca="false">Assumptions!D19</f>
        <v>-8000</v>
      </c>
      <c r="L20" s="56" t="n">
        <f aca="false">Assumptions!E19</f>
        <v>-8000</v>
      </c>
      <c r="M20" s="56" t="n">
        <f aca="false">Assumptions!F19</f>
        <v>-8000</v>
      </c>
    </row>
    <row r="21" customFormat="false" ht="15" hidden="false" customHeight="true" outlineLevel="0" collapsed="false">
      <c r="A21" s="55" t="s">
        <v>127</v>
      </c>
      <c r="B21" s="52" t="n">
        <v>-6603</v>
      </c>
      <c r="C21" s="52" t="n">
        <v>-6550</v>
      </c>
      <c r="D21" s="52" t="n">
        <v>-6576</v>
      </c>
      <c r="E21" s="52" t="n">
        <v>-6558</v>
      </c>
      <c r="F21" s="52" t="n">
        <v>-6903</v>
      </c>
      <c r="G21" s="52" t="n">
        <v>-7264</v>
      </c>
      <c r="H21" s="52" t="n">
        <v>-7507</v>
      </c>
      <c r="I21" s="56" t="n">
        <f aca="false">Assumptions!B18</f>
        <v>-7700</v>
      </c>
      <c r="J21" s="56" t="n">
        <f aca="false">Assumptions!C18</f>
        <v>-7930</v>
      </c>
      <c r="K21" s="56" t="n">
        <f aca="false">Assumptions!D18</f>
        <v>-8165</v>
      </c>
      <c r="L21" s="56" t="n">
        <f aca="false">Assumptions!E18</f>
        <v>-8410</v>
      </c>
      <c r="M21" s="56" t="n">
        <f aca="false">Assumptions!F18</f>
        <v>-8660</v>
      </c>
    </row>
    <row r="22" customFormat="false" ht="15" hidden="false" customHeight="true" outlineLevel="0" collapsed="false">
      <c r="A22" s="55" t="s">
        <v>128</v>
      </c>
      <c r="B22" s="52" t="n">
        <v>-960</v>
      </c>
      <c r="C22" s="52" t="n">
        <v>-1376</v>
      </c>
      <c r="D22" s="52" t="n">
        <v>-3832</v>
      </c>
      <c r="E22" s="52" t="n">
        <v>-2945</v>
      </c>
      <c r="F22" s="52" t="n">
        <v>-5710</v>
      </c>
      <c r="G22" s="52" t="n">
        <v>-2170</v>
      </c>
      <c r="H22" s="52" t="n">
        <v>-2839</v>
      </c>
      <c r="I22" s="56" t="n">
        <f aca="false">0</f>
        <v>0</v>
      </c>
      <c r="J22" s="56" t="n">
        <f aca="false">0</f>
        <v>0</v>
      </c>
      <c r="K22" s="56" t="n">
        <f aca="false">0</f>
        <v>0</v>
      </c>
      <c r="L22" s="56" t="n">
        <f aca="false">0</f>
        <v>0</v>
      </c>
      <c r="M22" s="56" t="n">
        <f aca="false">0</f>
        <v>0</v>
      </c>
    </row>
    <row r="23" customFormat="false" ht="15" hidden="false" customHeight="true" outlineLevel="0" collapsed="false">
      <c r="A23" s="57" t="s">
        <v>129</v>
      </c>
      <c r="B23" s="75" t="n">
        <v>-14299</v>
      </c>
      <c r="C23" s="75" t="n">
        <v>-16117</v>
      </c>
      <c r="D23" s="75" t="n">
        <v>-22828</v>
      </c>
      <c r="E23" s="75" t="n">
        <v>-17039</v>
      </c>
      <c r="F23" s="75" t="n">
        <v>-13414</v>
      </c>
      <c r="G23" s="75" t="n">
        <v>-14822</v>
      </c>
      <c r="H23" s="75" t="n">
        <v>-13553</v>
      </c>
      <c r="I23" s="59" t="n">
        <f aca="false">SUM(I19:I22)</f>
        <v>-15700</v>
      </c>
      <c r="J23" s="59" t="n">
        <f aca="false">SUM(J19:J22)</f>
        <v>-15930</v>
      </c>
      <c r="K23" s="59" t="n">
        <f aca="false">SUM(K19:K22)</f>
        <v>-16165</v>
      </c>
      <c r="L23" s="59" t="n">
        <f aca="false">SUM(L19:L22)</f>
        <v>-16410</v>
      </c>
      <c r="M23" s="59" t="n">
        <f aca="false">SUM(M19:M22)</f>
        <v>-16660</v>
      </c>
    </row>
    <row r="24" customFormat="false" ht="15" hidden="false" customHeight="true" outlineLevel="0" collapsed="false">
      <c r="A24" s="73" t="s">
        <v>130</v>
      </c>
      <c r="B24" s="74"/>
      <c r="C24" s="74"/>
      <c r="D24" s="74"/>
      <c r="E24" s="74"/>
      <c r="F24" s="74"/>
      <c r="G24" s="74"/>
      <c r="H24" s="74"/>
      <c r="I24" s="78"/>
      <c r="J24" s="78"/>
      <c r="K24" s="78"/>
      <c r="L24" s="78"/>
      <c r="M24" s="78"/>
    </row>
    <row r="25" customFormat="false" ht="15" hidden="false" customHeight="true" outlineLevel="0" collapsed="false">
      <c r="A25" s="55" t="s">
        <v>131</v>
      </c>
      <c r="B25" s="52" t="n">
        <v>1759</v>
      </c>
      <c r="C25" s="52" t="n">
        <v>-2954</v>
      </c>
      <c r="D25" s="52" t="n">
        <v>-5993</v>
      </c>
      <c r="E25" s="52" t="n">
        <v>1094</v>
      </c>
      <c r="F25" s="52" t="n">
        <v>-399</v>
      </c>
      <c r="G25" s="52" t="n">
        <v>1785</v>
      </c>
      <c r="H25" s="52"/>
      <c r="I25" s="56" t="n">
        <f aca="false">I12+I17+I23</f>
        <v>-2052.40396999999</v>
      </c>
      <c r="J25" s="56" t="n">
        <f aca="false">J12+J17+J23</f>
        <v>1436.42015164996</v>
      </c>
      <c r="K25" s="56" t="n">
        <f aca="false">K12+K17+K23</f>
        <v>5999.55658593704</v>
      </c>
      <c r="L25" s="56" t="n">
        <f aca="false">L12+L17+L23</f>
        <v>10855.6741918513</v>
      </c>
      <c r="M25" s="56" t="n">
        <f aca="false">M12+M17+M23</f>
        <v>16017.2776566325</v>
      </c>
    </row>
    <row r="26" customFormat="false" ht="15" hidden="false" customHeight="true" outlineLevel="0" collapsed="false">
      <c r="A26" s="57" t="s">
        <v>132</v>
      </c>
      <c r="B26" s="76" t="n">
        <f aca="false">B12+B14</f>
        <v>14871</v>
      </c>
      <c r="C26" s="76" t="n">
        <f aca="false">C12+C14</f>
        <v>26025</v>
      </c>
      <c r="D26" s="76" t="n">
        <f aca="false">D12+D14</f>
        <v>11469</v>
      </c>
      <c r="E26" s="76" t="n">
        <f aca="false">E12+E14</f>
        <v>12154</v>
      </c>
      <c r="F26" s="76" t="n">
        <f aca="false">F12+F14</f>
        <v>15370</v>
      </c>
      <c r="G26" s="76" t="n">
        <f aca="false">G12+G14</f>
        <v>13092</v>
      </c>
      <c r="H26" s="76" t="n">
        <f aca="false">H12+H14</f>
        <v>15029</v>
      </c>
      <c r="I26" s="59" t="n">
        <f aca="false">I12+I14</f>
        <v>13647.59603</v>
      </c>
      <c r="J26" s="59" t="n">
        <f aca="false">J12+J14</f>
        <v>17366.42015165</v>
      </c>
      <c r="K26" s="59" t="n">
        <f aca="false">K12+K14</f>
        <v>22164.556585937</v>
      </c>
      <c r="L26" s="59" t="n">
        <f aca="false">L12+L14</f>
        <v>27265.6741918513</v>
      </c>
      <c r="M26" s="59" t="n">
        <f aca="false">M12+M14</f>
        <v>32677.2776566325</v>
      </c>
    </row>
    <row r="27" customFormat="false" ht="15" hidden="false" customHeight="true" outlineLevel="0" collapsed="false">
      <c r="A27" s="55" t="s">
        <v>133</v>
      </c>
      <c r="B27" s="79" t="n">
        <f aca="false">IF('Income Statement'!B4=0,0,B26/'Income Statement'!B4)</f>
        <v>0.0283817208815873</v>
      </c>
      <c r="C27" s="79" t="n">
        <f aca="false">IF('Income Statement'!C4=0,0,C26/'Income Statement'!C4)</f>
        <v>0.046543777977684</v>
      </c>
      <c r="D27" s="79" t="n">
        <f aca="false">IF('Income Statement'!D4=0,0,D26/'Income Statement'!D4)</f>
        <v>0.0200243036277355</v>
      </c>
      <c r="E27" s="79" t="n">
        <f aca="false">IF('Income Statement'!E4=0,0,E26/'Income Statement'!E4)</f>
        <v>0.019882575999241</v>
      </c>
      <c r="F27" s="79" t="n">
        <f aca="false">IF('Income Statement'!F4=0,0,F26/'Income Statement'!F4)</f>
        <v>0.0237145612343298</v>
      </c>
      <c r="G27" s="79" t="n">
        <f aca="false">IF('Income Statement'!G4=0,0,G26/'Income Statement'!G4)</f>
        <v>0.0192250930637239</v>
      </c>
      <c r="H27" s="79" t="n">
        <f aca="false">IF('Income Statement'!H4=0,0,H26/'Income Statement'!H4)</f>
        <v>0.0210737236788785</v>
      </c>
      <c r="I27" s="61" t="n">
        <f aca="false">IF('Income Statement'!I4=0,0,I26/'Income Statement'!I4)</f>
        <v>0.0183126445247118</v>
      </c>
      <c r="J27" s="61" t="n">
        <f aca="false">IF('Income Statement'!J4=0,0,J26/'Income Statement'!J4)</f>
        <v>0.0222991813633605</v>
      </c>
      <c r="K27" s="61" t="n">
        <f aca="false">IF('Income Statement'!K4=0,0,K26/'Income Statement'!K4)</f>
        <v>0.0272868469447368</v>
      </c>
      <c r="L27" s="61" t="n">
        <f aca="false">IF('Income Statement'!L4=0,0,L26/'Income Statement'!L4)</f>
        <v>0.0322758143699393</v>
      </c>
      <c r="M27" s="61" t="n">
        <f aca="false">IF('Income Statement'!M4=0,0,M26/'Income Statement'!M4)</f>
        <v>0.037265717119402</v>
      </c>
    </row>
    <row r="28" customFormat="false" ht="15" hidden="false" customHeight="true" outlineLevel="0" collapsed="false">
      <c r="A28" s="55" t="s">
        <v>134</v>
      </c>
      <c r="B28" s="79" t="n">
        <f aca="false">IF('Income Statement'!B4=0,0,ABS(B14)/'Income Statement'!B4)</f>
        <v>0.019818155445794</v>
      </c>
      <c r="C28" s="79" t="n">
        <f aca="false">IF('Income Statement'!C4=0,0,ABS(C14)/'Income Statement'!C4)</f>
        <v>0.0179718895253697</v>
      </c>
      <c r="D28" s="79" t="n">
        <f aca="false">IF('Income Statement'!D4=0,0,ABS(D14)/'Income Statement'!D4)</f>
        <v>0.0221945198112977</v>
      </c>
      <c r="E28" s="79" t="n">
        <f aca="false">IF('Income Statement'!E4=0,0,ABS(E14)/'Income Statement'!E4)</f>
        <v>0.0272980537847074</v>
      </c>
      <c r="F28" s="79" t="n">
        <f aca="false">IF('Income Statement'!F4=0,0,ABS(F14)/'Income Statement'!F4)</f>
        <v>0.0314075216972035</v>
      </c>
      <c r="G28" s="79" t="n">
        <f aca="false">IF('Income Statement'!G4=0,0,ABS(G14)/'Income Statement'!G4)</f>
        <v>0.0342900357570284</v>
      </c>
      <c r="H28" s="79" t="n">
        <f aca="false">IF('Income Statement'!H4=0,0,ABS(H14)/'Income Statement'!H4)</f>
        <v>0.0372088849253256</v>
      </c>
      <c r="I28" s="61" t="n">
        <f aca="false">IF('Income Statement'!I4=0,0,ABS(I14)/'Income Statement'!I4)</f>
        <v>0.037</v>
      </c>
      <c r="J28" s="61" t="n">
        <f aca="false">IF('Income Statement'!J4=0,0,ABS(J14)/'Income Statement'!J4)</f>
        <v>0.036</v>
      </c>
      <c r="K28" s="61" t="n">
        <f aca="false">IF('Income Statement'!K4=0,0,ABS(K14)/'Income Statement'!K4)</f>
        <v>0.034</v>
      </c>
      <c r="L28" s="61" t="n">
        <f aca="false">IF('Income Statement'!L4=0,0,ABS(L14)/'Income Statement'!L4)</f>
        <v>0.032</v>
      </c>
      <c r="M28" s="61" t="n">
        <f aca="false">IF('Income Statement'!M4=0,0,ABS(M14)/'Income Statement'!M4)</f>
        <v>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A33" activeCellId="0" sqref="A33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6.57"/>
    <col collapsed="false" customWidth="true" hidden="false" outlineLevel="0" max="8" min="3" style="1" width="14"/>
    <col collapsed="false" customWidth="true" hidden="false" outlineLevel="0" max="9" min="9" style="1" width="3"/>
    <col collapsed="false" customWidth="true" hidden="false" outlineLevel="0" max="10" min="10" style="1" width="10"/>
    <col collapsed="false" customWidth="true" hidden="false" outlineLevel="0" max="15" min="11" style="1" width="12"/>
  </cols>
  <sheetData>
    <row r="1" customFormat="false" ht="17.25" hidden="false" customHeight="true" outlineLevel="0" collapsed="false">
      <c r="A1" s="80" t="s">
        <v>135</v>
      </c>
    </row>
    <row r="2" customFormat="false" ht="15" hidden="false" customHeight="true" outlineLevel="0" collapsed="false">
      <c r="A2" s="81" t="s">
        <v>136</v>
      </c>
    </row>
    <row r="4" customFormat="false" ht="18" hidden="false" customHeight="true" outlineLevel="0" collapsed="false">
      <c r="A4" s="16" t="s">
        <v>137</v>
      </c>
      <c r="B4" s="16"/>
      <c r="C4" s="16"/>
      <c r="D4" s="16"/>
      <c r="E4" s="16"/>
      <c r="F4" s="16"/>
      <c r="G4" s="16"/>
      <c r="H4" s="16"/>
    </row>
    <row r="5" customFormat="false" ht="15.75" hidden="false" customHeight="true" outlineLevel="0" collapsed="false">
      <c r="A5" s="82"/>
      <c r="B5" s="82"/>
      <c r="C5" s="50" t="s">
        <v>22</v>
      </c>
      <c r="D5" s="50" t="s">
        <v>23</v>
      </c>
      <c r="E5" s="50" t="s">
        <v>24</v>
      </c>
      <c r="F5" s="50" t="s">
        <v>25</v>
      </c>
      <c r="G5" s="50" t="s">
        <v>26</v>
      </c>
      <c r="H5" s="50"/>
    </row>
    <row r="6" customFormat="false" ht="15" hidden="false" customHeight="true" outlineLevel="0" collapsed="false">
      <c r="A6" s="83" t="s">
        <v>138</v>
      </c>
      <c r="B6" s="83"/>
      <c r="C6" s="84" t="n">
        <f aca="false">'Cash Flow Statement'!I26</f>
        <v>13647.59603</v>
      </c>
      <c r="D6" s="84" t="n">
        <f aca="false">'Cash Flow Statement'!J26</f>
        <v>17366.42015165</v>
      </c>
      <c r="E6" s="84" t="n">
        <f aca="false">'Cash Flow Statement'!K26</f>
        <v>22164.556585937</v>
      </c>
      <c r="F6" s="84" t="n">
        <f aca="false">'Cash Flow Statement'!L26</f>
        <v>27265.6741918513</v>
      </c>
      <c r="G6" s="84" t="n">
        <f aca="false">'Cash Flow Statement'!M26</f>
        <v>32677.2776566325</v>
      </c>
    </row>
    <row r="7" customFormat="false" ht="15" hidden="false" customHeight="true" outlineLevel="0" collapsed="false">
      <c r="A7" s="83" t="s">
        <v>139</v>
      </c>
      <c r="C7" s="85" t="n">
        <v>0.07</v>
      </c>
      <c r="D7" s="86" t="s">
        <v>140</v>
      </c>
      <c r="E7" s="86"/>
      <c r="F7" s="86"/>
      <c r="G7" s="86"/>
      <c r="H7" s="86"/>
    </row>
    <row r="8" customFormat="false" ht="15" hidden="false" customHeight="true" outlineLevel="0" collapsed="false">
      <c r="A8" s="83" t="s">
        <v>141</v>
      </c>
      <c r="C8" s="87" t="n">
        <v>16</v>
      </c>
      <c r="D8" s="86" t="s">
        <v>142</v>
      </c>
      <c r="E8" s="86"/>
      <c r="F8" s="86"/>
      <c r="G8" s="86"/>
      <c r="H8" s="86"/>
    </row>
    <row r="9" customFormat="false" ht="15" hidden="false" customHeight="true" outlineLevel="0" collapsed="false">
      <c r="A9" s="83" t="s">
        <v>143</v>
      </c>
      <c r="C9" s="84" t="n">
        <f aca="false">'Income Statement'!M18</f>
        <v>71903.5342660505</v>
      </c>
    </row>
    <row r="10" customFormat="false" ht="15" hidden="false" customHeight="true" outlineLevel="0" collapsed="false">
      <c r="A10" s="83" t="s">
        <v>144</v>
      </c>
      <c r="C10" s="84" t="n">
        <f aca="false">'Balance Sheet'!G17-'Balance Sheet'!G5</f>
        <v>30287</v>
      </c>
    </row>
    <row r="11" customFormat="false" ht="15" hidden="false" customHeight="true" outlineLevel="0" collapsed="false">
      <c r="A11" s="83" t="s">
        <v>145</v>
      </c>
      <c r="C11" s="84" t="n">
        <f aca="false">Assumptions!B11</f>
        <v>7950</v>
      </c>
    </row>
    <row r="13" customFormat="false" ht="18" hidden="false" customHeight="true" outlineLevel="0" collapsed="false">
      <c r="A13" s="16" t="s">
        <v>146</v>
      </c>
      <c r="B13" s="16"/>
      <c r="C13" s="16"/>
      <c r="D13" s="16"/>
      <c r="E13" s="16"/>
      <c r="F13" s="16"/>
      <c r="G13" s="16"/>
      <c r="H13" s="16"/>
    </row>
    <row r="14" customFormat="false" ht="15.75" hidden="false" customHeight="true" outlineLevel="0" collapsed="false">
      <c r="A14" s="82"/>
      <c r="B14" s="82"/>
      <c r="C14" s="50" t="s">
        <v>22</v>
      </c>
      <c r="D14" s="50" t="s">
        <v>23</v>
      </c>
      <c r="E14" s="50" t="s">
        <v>24</v>
      </c>
      <c r="F14" s="50" t="s">
        <v>25</v>
      </c>
      <c r="G14" s="50" t="s">
        <v>26</v>
      </c>
      <c r="H14" s="50" t="s">
        <v>147</v>
      </c>
    </row>
    <row r="15" customFormat="false" ht="15" hidden="false" customHeight="true" outlineLevel="0" collapsed="false">
      <c r="A15" s="83" t="s">
        <v>148</v>
      </c>
      <c r="C15" s="88" t="n">
        <v>1</v>
      </c>
      <c r="D15" s="88" t="n">
        <v>2</v>
      </c>
      <c r="E15" s="88" t="n">
        <v>3</v>
      </c>
      <c r="F15" s="88" t="n">
        <v>4</v>
      </c>
      <c r="G15" s="88" t="n">
        <v>5</v>
      </c>
    </row>
    <row r="16" customFormat="false" ht="15" hidden="false" customHeight="true" outlineLevel="0" collapsed="false">
      <c r="A16" s="83" t="s">
        <v>149</v>
      </c>
      <c r="C16" s="89" t="n">
        <f aca="false">1/(1+$C7)^C15</f>
        <v>0.934579439252336</v>
      </c>
      <c r="D16" s="89" t="n">
        <f aca="false">1/(1+$C7)^D15</f>
        <v>0.873438728273212</v>
      </c>
      <c r="E16" s="89" t="n">
        <f aca="false">1/(1+$C7)^E15</f>
        <v>0.816297876890852</v>
      </c>
      <c r="F16" s="89" t="n">
        <f aca="false">1/(1+$C7)^F15</f>
        <v>0.762895212047525</v>
      </c>
      <c r="G16" s="89" t="n">
        <f aca="false">1/(1+$C7)^G15</f>
        <v>0.712986179483668</v>
      </c>
    </row>
    <row r="17" customFormat="false" ht="15" hidden="false" customHeight="true" outlineLevel="0" collapsed="false">
      <c r="A17" s="90" t="s">
        <v>150</v>
      </c>
      <c r="C17" s="91" t="n">
        <f aca="false">C6*C16</f>
        <v>12754.7626448598</v>
      </c>
      <c r="D17" s="91" t="n">
        <f aca="false">D6*D16</f>
        <v>15168.5039319154</v>
      </c>
      <c r="E17" s="91" t="n">
        <f aca="false">E6*E16</f>
        <v>18092.8804833276</v>
      </c>
      <c r="F17" s="91" t="n">
        <f aca="false">F6*F16</f>
        <v>20800.8522942112</v>
      </c>
      <c r="G17" s="91" t="n">
        <f aca="false">G6*G16</f>
        <v>23298.4473523295</v>
      </c>
      <c r="H17" s="91" t="n">
        <f aca="false">SUM(C17:G17)</f>
        <v>90115.4467066434</v>
      </c>
    </row>
    <row r="19" customFormat="false" ht="18" hidden="false" customHeight="true" outlineLevel="0" collapsed="false">
      <c r="A19" s="16" t="s">
        <v>151</v>
      </c>
      <c r="B19" s="16"/>
      <c r="C19" s="16"/>
      <c r="D19" s="16"/>
      <c r="E19" s="16"/>
      <c r="F19" s="16"/>
      <c r="G19" s="16"/>
      <c r="H19" s="16"/>
    </row>
    <row r="20" customFormat="false" ht="15" hidden="false" customHeight="true" outlineLevel="0" collapsed="false">
      <c r="A20" s="83" t="s">
        <v>152</v>
      </c>
      <c r="C20" s="92" t="n">
        <f aca="false">C9*C8</f>
        <v>1150456.54825681</v>
      </c>
    </row>
    <row r="21" customFormat="false" ht="15" hidden="false" customHeight="true" outlineLevel="0" collapsed="false">
      <c r="A21" s="90" t="s">
        <v>153</v>
      </c>
      <c r="C21" s="91" t="n">
        <f aca="false">C20/(1+C7)^5</f>
        <v>820259.61900359</v>
      </c>
    </row>
    <row r="22" customFormat="false" ht="15" hidden="false" customHeight="true" outlineLevel="0" collapsed="false">
      <c r="A22" s="83" t="s">
        <v>154</v>
      </c>
      <c r="C22" s="93" t="n">
        <f aca="false">C21/(H17+C21)</f>
        <v>0.901012835147962</v>
      </c>
    </row>
    <row r="24" customFormat="false" ht="18" hidden="false" customHeight="true" outlineLevel="0" collapsed="false">
      <c r="A24" s="16" t="s">
        <v>155</v>
      </c>
      <c r="B24" s="16"/>
      <c r="C24" s="16"/>
      <c r="D24" s="16"/>
      <c r="E24" s="16"/>
      <c r="F24" s="16"/>
      <c r="G24" s="16"/>
      <c r="H24" s="16"/>
    </row>
    <row r="25" customFormat="false" ht="15" hidden="false" customHeight="true" outlineLevel="0" collapsed="false">
      <c r="A25" s="90" t="s">
        <v>156</v>
      </c>
      <c r="C25" s="91" t="n">
        <f aca="false">H17+C21</f>
        <v>910375.065710233</v>
      </c>
    </row>
    <row r="26" customFormat="false" ht="15" hidden="false" customHeight="true" outlineLevel="0" collapsed="false">
      <c r="A26" s="83" t="s">
        <v>157</v>
      </c>
      <c r="C26" s="92" t="n">
        <f aca="false">-C10</f>
        <v>-30287</v>
      </c>
    </row>
    <row r="27" customFormat="false" ht="15" hidden="false" customHeight="true" outlineLevel="0" collapsed="false">
      <c r="A27" s="90" t="s">
        <v>158</v>
      </c>
      <c r="C27" s="91" t="n">
        <f aca="false">C25+C26</f>
        <v>880088.065710233</v>
      </c>
    </row>
    <row r="28" customFormat="false" ht="15" hidden="false" customHeight="true" outlineLevel="0" collapsed="false">
      <c r="A28" s="83" t="s">
        <v>159</v>
      </c>
      <c r="C28" s="92" t="n">
        <f aca="false">C11</f>
        <v>7950</v>
      </c>
    </row>
    <row r="29" customFormat="false" ht="24" hidden="false" customHeight="true" outlineLevel="0" collapsed="false">
      <c r="A29" s="94" t="s">
        <v>160</v>
      </c>
      <c r="C29" s="95" t="n">
        <f aca="false">IF(C28=0,0,C27/C28)</f>
        <v>110.702901347199</v>
      </c>
    </row>
    <row r="32" customFormat="false" ht="18" hidden="false" customHeight="true" outlineLevel="0" collapsed="false">
      <c r="A32" s="16" t="s">
        <v>161</v>
      </c>
      <c r="B32" s="16"/>
      <c r="C32" s="16"/>
      <c r="D32" s="16"/>
      <c r="E32" s="16"/>
      <c r="F32" s="16"/>
      <c r="G32" s="16"/>
      <c r="H32" s="16"/>
    </row>
    <row r="33" customFormat="false" ht="15" hidden="false" customHeight="true" outlineLevel="0" collapsed="false">
      <c r="A33" s="96" t="s">
        <v>162</v>
      </c>
      <c r="B33" s="96"/>
      <c r="C33" s="96"/>
      <c r="D33" s="96"/>
      <c r="E33" s="96"/>
      <c r="F33" s="96"/>
      <c r="G33" s="96"/>
      <c r="H33" s="96"/>
    </row>
    <row r="35" customFormat="false" ht="15" hidden="false" customHeight="true" outlineLevel="0" collapsed="false">
      <c r="A35" s="97" t="s">
        <v>163</v>
      </c>
      <c r="B35" s="98" t="s">
        <v>164</v>
      </c>
      <c r="C35" s="98" t="s">
        <v>165</v>
      </c>
      <c r="D35" s="98" t="s">
        <v>166</v>
      </c>
      <c r="E35" s="98" t="s">
        <v>167</v>
      </c>
      <c r="F35" s="98" t="s">
        <v>168</v>
      </c>
      <c r="G35" s="98" t="s">
        <v>169</v>
      </c>
      <c r="H35" s="98" t="s">
        <v>170</v>
      </c>
    </row>
    <row r="36" customFormat="false" ht="15" hidden="false" customHeight="true" outlineLevel="0" collapsed="false">
      <c r="A36" s="99" t="n">
        <v>0.06</v>
      </c>
      <c r="B36" s="100" t="n">
        <f aca="false">IF(C11=0,0,(('Cash Flow Statement'!I26/(1+0.06)^1+'Cash Flow Statement'!J26/(1+0.06)^2+'Cash Flow Statement'!K26/(1+0.06)^3+'Cash Flow Statement'!L26/(1+0.06)^4+'Cash Flow Statement'!M26/(1+0.06)^5+('Income Statement'!M18*13)/(1+0.06)^5)-C10)/C11)</f>
        <v>95.7441270011463</v>
      </c>
      <c r="C36" s="100" t="n">
        <f aca="false">IF(C11=0,0,(('Cash Flow Statement'!I26/(1+0.06)^1+'Cash Flow Statement'!J26/(1+0.06)^2+'Cash Flow Statement'!K26/(1+0.06)^3+'Cash Flow Statement'!L26/(1+0.06)^4+'Cash Flow Statement'!M26/(1+0.06)^5+('Income Statement'!M18*14)/(1+0.06)^5)-C10)/C11)</f>
        <v>102.502680917909</v>
      </c>
      <c r="D36" s="100" t="n">
        <f aca="false">IF(C11=0,0,(('Cash Flow Statement'!I26/(1+0.06)^1+'Cash Flow Statement'!J26/(1+0.06)^2+'Cash Flow Statement'!K26/(1+0.06)^3+'Cash Flow Statement'!L26/(1+0.06)^4+'Cash Flow Statement'!M26/(1+0.06)^5+('Income Statement'!M18*15)/(1+0.06)^5)-C10)/C11)</f>
        <v>109.261234834671</v>
      </c>
      <c r="E36" s="100" t="n">
        <f aca="false">IF(C11=0,0,(('Cash Flow Statement'!I26/(1+0.06)^1+'Cash Flow Statement'!J26/(1+0.06)^2+'Cash Flow Statement'!K26/(1+0.06)^3+'Cash Flow Statement'!L26/(1+0.06)^4+'Cash Flow Statement'!M26/(1+0.06)^5+('Income Statement'!M18*16)/(1+0.06)^5)-C10)/C11)</f>
        <v>116.019788751433</v>
      </c>
      <c r="F36" s="100" t="n">
        <f aca="false">IF(C11=0,0,(('Cash Flow Statement'!I26/(1+0.06)^1+'Cash Flow Statement'!J26/(1+0.06)^2+'Cash Flow Statement'!K26/(1+0.06)^3+'Cash Flow Statement'!L26/(1+0.06)^4+'Cash Flow Statement'!M26/(1+0.06)^5+('Income Statement'!M18*17)/(1+0.06)^5)-C10)/C11)</f>
        <v>122.778342668196</v>
      </c>
      <c r="G36" s="100" t="n">
        <f aca="false">IF(C11=0,0,(('Cash Flow Statement'!I26/(1+0.06)^1+'Cash Flow Statement'!J26/(1+0.06)^2+'Cash Flow Statement'!K26/(1+0.06)^3+'Cash Flow Statement'!L26/(1+0.06)^4+'Cash Flow Statement'!M26/(1+0.06)^5+('Income Statement'!M18*18)/(1+0.06)^5)-C10)/C11)</f>
        <v>129.536896584958</v>
      </c>
      <c r="H36" s="100" t="n">
        <f aca="false">IF(C11=0,0,(('Cash Flow Statement'!I26/(1+0.06)^1+'Cash Flow Statement'!J26/(1+0.06)^2+'Cash Flow Statement'!K26/(1+0.06)^3+'Cash Flow Statement'!L26/(1+0.06)^4+'Cash Flow Statement'!M26/(1+0.06)^5+('Income Statement'!M18*19)/(1+0.06)^5)-C10)/C11)</f>
        <v>136.295450501721</v>
      </c>
    </row>
    <row r="37" customFormat="false" ht="15" hidden="false" customHeight="true" outlineLevel="0" collapsed="false">
      <c r="A37" s="99" t="n">
        <v>0.065</v>
      </c>
      <c r="B37" s="100" t="n">
        <f aca="false">IF(C11=0,0,(('Cash Flow Statement'!I26/(1+0.065)^1+'Cash Flow Statement'!J26/(1+0.065)^2+'Cash Flow Statement'!K26/(1+0.065)^3+'Cash Flow Statement'!L26/(1+0.065)^4+'Cash Flow Statement'!M26/(1+0.065)^5+('Income Statement'!M18*13)/(1+0.065)^5)-C10)/C11)</f>
        <v>93.5202172616382</v>
      </c>
      <c r="C37" s="100" t="n">
        <f aca="false">IF(C11=0,0,(('Cash Flow Statement'!I26/(1+0.065)^1+'Cash Flow Statement'!J26/(1+0.065)^2+'Cash Flow Statement'!K26/(1+0.065)^3+'Cash Flow Statement'!L26/(1+0.065)^4+'Cash Flow Statement'!M26/(1+0.065)^5+('Income Statement'!M18*14)/(1+0.065)^5)-C10)/C11)</f>
        <v>100.12160238603</v>
      </c>
      <c r="D37" s="100" t="n">
        <f aca="false">IF(C11=0,0,(('Cash Flow Statement'!I26/(1+0.065)^1+'Cash Flow Statement'!J26/(1+0.065)^2+'Cash Flow Statement'!K26/(1+0.065)^3+'Cash Flow Statement'!L26/(1+0.065)^4+'Cash Flow Statement'!M26/(1+0.065)^5+('Income Statement'!M18*15)/(1+0.065)^5)-C10)/C11)</f>
        <v>106.722987510423</v>
      </c>
      <c r="E37" s="100" t="n">
        <f aca="false">IF(C11=0,0,(('Cash Flow Statement'!I26/(1+0.065)^1+'Cash Flow Statement'!J26/(1+0.065)^2+'Cash Flow Statement'!K26/(1+0.065)^3+'Cash Flow Statement'!L26/(1+0.065)^4+'Cash Flow Statement'!M26/(1+0.065)^5+('Income Statement'!M18*16)/(1+0.065)^5)-C10)/C11)</f>
        <v>113.324372634815</v>
      </c>
      <c r="F37" s="100" t="n">
        <f aca="false">IF(C11=0,0,(('Cash Flow Statement'!I26/(1+0.065)^1+'Cash Flow Statement'!J26/(1+0.065)^2+'Cash Flow Statement'!K26/(1+0.065)^3+'Cash Flow Statement'!L26/(1+0.065)^4+'Cash Flow Statement'!M26/(1+0.065)^5+('Income Statement'!M18*17)/(1+0.065)^5)-C10)/C11)</f>
        <v>119.925757759207</v>
      </c>
      <c r="G37" s="100" t="n">
        <f aca="false">IF(C11=0,0,(('Cash Flow Statement'!I26/(1+0.065)^1+'Cash Flow Statement'!J26/(1+0.065)^2+'Cash Flow Statement'!K26/(1+0.065)^3+'Cash Flow Statement'!L26/(1+0.065)^4+'Cash Flow Statement'!M26/(1+0.065)^5+('Income Statement'!M18*18)/(1+0.065)^5)-C10)/C11)</f>
        <v>126.527142883599</v>
      </c>
      <c r="H37" s="100" t="n">
        <f aca="false">IF(C11=0,0,(('Cash Flow Statement'!I26/(1+0.065)^1+'Cash Flow Statement'!J26/(1+0.065)^2+'Cash Flow Statement'!K26/(1+0.065)^3+'Cash Flow Statement'!L26/(1+0.065)^4+'Cash Flow Statement'!M26/(1+0.065)^5+('Income Statement'!M18*19)/(1+0.065)^5)-C10)/C11)</f>
        <v>133.128528007992</v>
      </c>
    </row>
    <row r="38" customFormat="false" ht="15" hidden="false" customHeight="true" outlineLevel="0" collapsed="false">
      <c r="A38" s="99" t="n">
        <v>0.07</v>
      </c>
      <c r="B38" s="101" t="n">
        <f aca="false">IF(C11=0,0,(('Cash Flow Statement'!I26/(1+0.07)^1+'Cash Flow Statement'!J26/(1+0.07)^2+'Cash Flow Statement'!K26/(1+0.07)^3+'Cash Flow Statement'!L26/(1+0.07)^4+'Cash Flow Statement'!M26/(1+0.07)^5+('Income Statement'!M18*13)/(1+0.07)^5)-C10)/C11)</f>
        <v>91.3571556159824</v>
      </c>
      <c r="C38" s="101" t="n">
        <f aca="false">IF(C11=0,0,(('Cash Flow Statement'!I26/(1+0.07)^1+'Cash Flow Statement'!J26/(1+0.07)^2+'Cash Flow Statement'!K26/(1+0.07)^3+'Cash Flow Statement'!L26/(1+0.07)^4+'Cash Flow Statement'!M26/(1+0.07)^5+('Income Statement'!M18*14)/(1+0.07)^5)-C10)/C11)</f>
        <v>97.805737526388</v>
      </c>
      <c r="D38" s="101" t="n">
        <f aca="false">IF(C11=0,0,(('Cash Flow Statement'!I26/(1+0.07)^1+'Cash Flow Statement'!J26/(1+0.07)^2+'Cash Flow Statement'!K26/(1+0.07)^3+'Cash Flow Statement'!L26/(1+0.07)^4+'Cash Flow Statement'!M26/(1+0.07)^5+('Income Statement'!M18*15)/(1+0.07)^5)-C10)/C11)</f>
        <v>104.254319436794</v>
      </c>
      <c r="E38" s="102" t="n">
        <f aca="false">IF(C11=0,0,(('Cash Flow Statement'!I26/(1+0.07)^1+'Cash Flow Statement'!J26/(1+0.07)^2+'Cash Flow Statement'!K26/(1+0.07)^3+'Cash Flow Statement'!L26/(1+0.07)^4+'Cash Flow Statement'!M26/(1+0.07)^5+('Income Statement'!M18*16)/(1+0.07)^5)-C10)/C11)</f>
        <v>110.702901347199</v>
      </c>
      <c r="F38" s="100" t="n">
        <f aca="false">IF(C11=0,0,(('Cash Flow Statement'!I26/(1+0.07)^1+'Cash Flow Statement'!J26/(1+0.07)^2+'Cash Flow Statement'!K26/(1+0.07)^3+'Cash Flow Statement'!L26/(1+0.07)^4+'Cash Flow Statement'!M26/(1+0.07)^5+('Income Statement'!M18*17)/(1+0.07)^5)-C10)/C11)</f>
        <v>117.151483257605</v>
      </c>
      <c r="G38" s="100" t="n">
        <f aca="false">IF(C11=0,0,(('Cash Flow Statement'!I26/(1+0.07)^1+'Cash Flow Statement'!J26/(1+0.07)^2+'Cash Flow Statement'!K26/(1+0.07)^3+'Cash Flow Statement'!L26/(1+0.07)^4+'Cash Flow Statement'!M26/(1+0.07)^5+('Income Statement'!M18*18)/(1+0.07)^5)-C10)/C11)</f>
        <v>123.60006516801</v>
      </c>
      <c r="H38" s="100" t="n">
        <f aca="false">IF(C11=0,0,(('Cash Flow Statement'!I26/(1+0.07)^1+'Cash Flow Statement'!J26/(1+0.07)^2+'Cash Flow Statement'!K26/(1+0.07)^3+'Cash Flow Statement'!L26/(1+0.07)^4+'Cash Flow Statement'!M26/(1+0.07)^5+('Income Statement'!M18*19)/(1+0.07)^5)-C10)/C11)</f>
        <v>130.048647078416</v>
      </c>
    </row>
    <row r="39" customFormat="false" ht="15" hidden="false" customHeight="true" outlineLevel="0" collapsed="false">
      <c r="A39" s="99" t="n">
        <v>0.075</v>
      </c>
      <c r="B39" s="101" t="n">
        <f aca="false">IF(C11=0,0,(('Cash Flow Statement'!I26/(1+0.075)^1+'Cash Flow Statement'!J26/(1+0.075)^2+'Cash Flow Statement'!K26/(1+0.075)^3+'Cash Flow Statement'!L26/(1+0.075)^4+'Cash Flow Statement'!M26/(1+0.075)^5+('Income Statement'!M18*13)/(1+0.075)^5)-C10)/C11)</f>
        <v>89.2529950252915</v>
      </c>
      <c r="C39" s="101" t="n">
        <f aca="false">IF(C11=0,0,(('Cash Flow Statement'!I26/(1+0.075)^1+'Cash Flow Statement'!J26/(1+0.075)^2+'Cash Flow Statement'!K26/(1+0.075)^3+'Cash Flow Statement'!L26/(1+0.075)^4+'Cash Flow Statement'!M26/(1+0.075)^5+('Income Statement'!M18*14)/(1+0.075)^5)-C10)/C11)</f>
        <v>95.5529984830902</v>
      </c>
      <c r="D39" s="101" t="n">
        <f aca="false">IF(C11=0,0,(('Cash Flow Statement'!I26/(1+0.075)^1+'Cash Flow Statement'!J26/(1+0.075)^2+'Cash Flow Statement'!K26/(1+0.075)^3+'Cash Flow Statement'!L26/(1+0.075)^4+'Cash Flow Statement'!M26/(1+0.075)^5+('Income Statement'!M18*15)/(1+0.075)^5)-C10)/C11)</f>
        <v>101.853001940889</v>
      </c>
      <c r="E39" s="101" t="n">
        <f aca="false">IF(C11=0,0,(('Cash Flow Statement'!I26/(1+0.075)^1+'Cash Flow Statement'!J26/(1+0.075)^2+'Cash Flow Statement'!K26/(1+0.075)^3+'Cash Flow Statement'!L26/(1+0.075)^4+'Cash Flow Statement'!M26/(1+0.075)^5+('Income Statement'!M18*16)/(1+0.075)^5)-C10)/C11)</f>
        <v>108.153005398688</v>
      </c>
      <c r="F39" s="100" t="n">
        <f aca="false">IF(C11=0,0,(('Cash Flow Statement'!I26/(1+0.075)^1+'Cash Flow Statement'!J26/(1+0.075)^2+'Cash Flow Statement'!K26/(1+0.075)^3+'Cash Flow Statement'!L26/(1+0.075)^4+'Cash Flow Statement'!M26/(1+0.075)^5+('Income Statement'!M18*17)/(1+0.075)^5)-C10)/C11)</f>
        <v>114.453008856486</v>
      </c>
      <c r="G39" s="100" t="n">
        <f aca="false">IF(C11=0,0,(('Cash Flow Statement'!I26/(1+0.075)^1+'Cash Flow Statement'!J26/(1+0.075)^2+'Cash Flow Statement'!K26/(1+0.075)^3+'Cash Flow Statement'!L26/(1+0.075)^4+'Cash Flow Statement'!M26/(1+0.075)^5+('Income Statement'!M18*18)/(1+0.075)^5)-C10)/C11)</f>
        <v>120.753012314285</v>
      </c>
      <c r="H39" s="100" t="n">
        <f aca="false">IF(C11=0,0,(('Cash Flow Statement'!I26/(1+0.075)^1+'Cash Flow Statement'!J26/(1+0.075)^2+'Cash Flow Statement'!K26/(1+0.075)^3+'Cash Flow Statement'!L26/(1+0.075)^4+'Cash Flow Statement'!M26/(1+0.075)^5+('Income Statement'!M18*19)/(1+0.075)^5)-C10)/C11)</f>
        <v>127.053015772084</v>
      </c>
    </row>
    <row r="40" customFormat="false" ht="15" hidden="false" customHeight="true" outlineLevel="0" collapsed="false">
      <c r="A40" s="99" t="n">
        <v>0.08</v>
      </c>
      <c r="B40" s="101" t="n">
        <f aca="false">IF(C11=0,0,(('Cash Flow Statement'!I26/(1+0.08)^1+'Cash Flow Statement'!J26/(1+0.08)^2+'Cash Flow Statement'!K26/(1+0.08)^3+'Cash Flow Statement'!L26/(1+0.08)^4+'Cash Flow Statement'!M26/(1+0.08)^5+('Income Statement'!M18*13)/(1+0.08)^5)-C10)/C11)</f>
        <v>87.205859539923</v>
      </c>
      <c r="C40" s="101" t="n">
        <f aca="false">IF(C11=0,0,(('Cash Flow Statement'!I26/(1+0.08)^1+'Cash Flow Statement'!J26/(1+0.08)^2+'Cash Flow Statement'!K26/(1+0.08)^3+'Cash Flow Statement'!L26/(1+0.08)^4+'Cash Flow Statement'!M26/(1+0.08)^5+('Income Statement'!M18*14)/(1+0.08)^5)-C10)/C11)</f>
        <v>93.361373656755</v>
      </c>
      <c r="D40" s="101" t="n">
        <f aca="false">IF(C11=0,0,(('Cash Flow Statement'!I26/(1+0.08)^1+'Cash Flow Statement'!J26/(1+0.08)^2+'Cash Flow Statement'!K26/(1+0.08)^3+'Cash Flow Statement'!L26/(1+0.08)^4+'Cash Flow Statement'!M26/(1+0.08)^5+('Income Statement'!M18*15)/(1+0.08)^5)-C10)/C11)</f>
        <v>99.5168877735871</v>
      </c>
      <c r="E40" s="101" t="n">
        <f aca="false">IF(C11=0,0,(('Cash Flow Statement'!I26/(1+0.08)^1+'Cash Flow Statement'!J26/(1+0.08)^2+'Cash Flow Statement'!K26/(1+0.08)^3+'Cash Flow Statement'!L26/(1+0.08)^4+'Cash Flow Statement'!M26/(1+0.08)^5+('Income Statement'!M18*16)/(1+0.08)^5)-C10)/C11)</f>
        <v>105.672401890419</v>
      </c>
      <c r="F40" s="100" t="n">
        <f aca="false">IF(C11=0,0,(('Cash Flow Statement'!I26/(1+0.08)^1+'Cash Flow Statement'!J26/(1+0.08)^2+'Cash Flow Statement'!K26/(1+0.08)^3+'Cash Flow Statement'!L26/(1+0.08)^4+'Cash Flow Statement'!M26/(1+0.08)^5+('Income Statement'!M18*17)/(1+0.08)^5)-C10)/C11)</f>
        <v>111.827916007251</v>
      </c>
      <c r="G40" s="100" t="n">
        <f aca="false">IF(C11=0,0,(('Cash Flow Statement'!I26/(1+0.08)^1+'Cash Flow Statement'!J26/(1+0.08)^2+'Cash Flow Statement'!K26/(1+0.08)^3+'Cash Flow Statement'!L26/(1+0.08)^4+'Cash Flow Statement'!M26/(1+0.08)^5+('Income Statement'!M18*18)/(1+0.08)^5)-C10)/C11)</f>
        <v>117.983430124083</v>
      </c>
      <c r="H40" s="100" t="n">
        <f aca="false">IF(C11=0,0,(('Cash Flow Statement'!I26/(1+0.08)^1+'Cash Flow Statement'!J26/(1+0.08)^2+'Cash Flow Statement'!K26/(1+0.08)^3+'Cash Flow Statement'!L26/(1+0.08)^4+'Cash Flow Statement'!M26/(1+0.08)^5+('Income Statement'!M18*19)/(1+0.08)^5)-C10)/C11)</f>
        <v>124.138944240915</v>
      </c>
    </row>
    <row r="42" customFormat="false" ht="15" hidden="false" customHeight="true" outlineLevel="0" collapsed="false">
      <c r="A42" s="81" t="s">
        <v>171</v>
      </c>
    </row>
  </sheetData>
  <mergeCells count="8">
    <mergeCell ref="A4:H4"/>
    <mergeCell ref="D7:H7"/>
    <mergeCell ref="D8:H8"/>
    <mergeCell ref="A13:H13"/>
    <mergeCell ref="A19:H19"/>
    <mergeCell ref="A24:H24"/>
    <mergeCell ref="A32:H32"/>
    <mergeCell ref="A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fals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A20" activeCellId="0" sqref="A20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10" min="2" style="1" width="12"/>
    <col collapsed="false" customWidth="true" hidden="false" outlineLevel="0" max="11" min="11" style="1" width="14"/>
  </cols>
  <sheetData>
    <row r="1" customFormat="false" ht="18" hidden="false" customHeight="true" outlineLevel="0" collapsed="false">
      <c r="A1" s="80" t="s">
        <v>172</v>
      </c>
    </row>
    <row r="2" customFormat="false" ht="15" hidden="false" customHeight="true" outlineLevel="0" collapsed="false">
      <c r="A2" s="81" t="s">
        <v>173</v>
      </c>
    </row>
    <row r="3" customFormat="false" ht="15" hidden="false" customHeight="true" outlineLevel="0" collapsed="false">
      <c r="A3" s="103" t="s">
        <v>174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</row>
    <row r="5" customFormat="false" ht="18" hidden="false" customHeight="true" outlineLevel="0" collapsed="false">
      <c r="A5" s="16" t="s">
        <v>175</v>
      </c>
      <c r="B5" s="16"/>
      <c r="C5" s="16"/>
      <c r="D5" s="16"/>
      <c r="E5" s="16"/>
      <c r="F5" s="16"/>
      <c r="G5" s="16"/>
      <c r="H5" s="16"/>
      <c r="I5" s="16"/>
      <c r="J5" s="16"/>
      <c r="K5" s="16"/>
    </row>
    <row r="6" customFormat="false" ht="15" hidden="false" customHeight="true" outlineLevel="0" collapsed="false">
      <c r="A6" s="104" t="s">
        <v>176</v>
      </c>
      <c r="B6" s="105" t="s">
        <v>177</v>
      </c>
      <c r="C6" s="105"/>
      <c r="D6" s="105"/>
      <c r="E6" s="105"/>
      <c r="F6" s="105"/>
      <c r="G6" s="105"/>
      <c r="H6" s="105"/>
      <c r="I6" s="105"/>
      <c r="J6" s="105"/>
      <c r="K6" s="105"/>
    </row>
    <row r="7" customFormat="false" ht="15" hidden="false" customHeight="true" outlineLevel="0" collapsed="false">
      <c r="A7" s="104" t="s">
        <v>178</v>
      </c>
      <c r="B7" s="105" t="s">
        <v>179</v>
      </c>
      <c r="C7" s="105"/>
      <c r="D7" s="105"/>
      <c r="E7" s="105"/>
      <c r="F7" s="105"/>
      <c r="G7" s="105"/>
      <c r="H7" s="105"/>
      <c r="I7" s="105"/>
      <c r="J7" s="105"/>
      <c r="K7" s="105"/>
    </row>
    <row r="8" customFormat="false" ht="15" hidden="false" customHeight="true" outlineLevel="0" collapsed="false">
      <c r="A8" s="104" t="s">
        <v>180</v>
      </c>
      <c r="B8" s="105" t="s">
        <v>181</v>
      </c>
      <c r="C8" s="105"/>
      <c r="D8" s="105"/>
      <c r="E8" s="105"/>
      <c r="F8" s="105"/>
      <c r="G8" s="105"/>
      <c r="H8" s="105"/>
      <c r="I8" s="105"/>
      <c r="J8" s="105"/>
      <c r="K8" s="105"/>
    </row>
    <row r="9" customFormat="false" ht="15" hidden="false" customHeight="true" outlineLevel="0" collapsed="false">
      <c r="A9" s="104" t="s">
        <v>182</v>
      </c>
      <c r="B9" s="105" t="s">
        <v>183</v>
      </c>
      <c r="C9" s="105"/>
      <c r="D9" s="105"/>
      <c r="E9" s="105"/>
      <c r="F9" s="105"/>
      <c r="G9" s="105"/>
      <c r="H9" s="105"/>
      <c r="I9" s="105"/>
      <c r="J9" s="105"/>
      <c r="K9" s="105"/>
    </row>
    <row r="10" customFormat="false" ht="15" hidden="false" customHeight="true" outlineLevel="0" collapsed="false">
      <c r="A10" s="104" t="s">
        <v>184</v>
      </c>
      <c r="B10" s="105" t="s">
        <v>185</v>
      </c>
      <c r="C10" s="105"/>
      <c r="D10" s="105"/>
      <c r="E10" s="105"/>
      <c r="F10" s="105"/>
      <c r="G10" s="105"/>
      <c r="H10" s="105"/>
      <c r="I10" s="105"/>
      <c r="J10" s="105"/>
      <c r="K10" s="105"/>
    </row>
    <row r="12" customFormat="false" ht="18" hidden="false" customHeight="true" outlineLevel="0" collapsed="false">
      <c r="A12" s="16" t="s">
        <v>186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customFormat="false" ht="27.75" hidden="false" customHeight="true" outlineLevel="0" collapsed="false">
      <c r="A13" s="106" t="s">
        <v>187</v>
      </c>
      <c r="B13" s="106" t="s">
        <v>188</v>
      </c>
      <c r="C13" s="106" t="s">
        <v>189</v>
      </c>
      <c r="D13" s="106" t="s">
        <v>190</v>
      </c>
      <c r="E13" s="106" t="s">
        <v>191</v>
      </c>
      <c r="F13" s="106" t="s">
        <v>192</v>
      </c>
      <c r="G13" s="106" t="s">
        <v>193</v>
      </c>
      <c r="H13" s="106" t="s">
        <v>194</v>
      </c>
      <c r="I13" s="106" t="s">
        <v>195</v>
      </c>
      <c r="J13" s="106" t="s">
        <v>196</v>
      </c>
      <c r="K13" s="106" t="s">
        <v>197</v>
      </c>
    </row>
    <row r="14" customFormat="false" ht="15" hidden="false" customHeight="true" outlineLevel="0" collapsed="false">
      <c r="A14" s="107" t="s">
        <v>198</v>
      </c>
      <c r="B14" s="108" t="s">
        <v>199</v>
      </c>
      <c r="C14" s="109" t="n">
        <v>2100</v>
      </c>
      <c r="D14" s="110" t="n">
        <v>-60000</v>
      </c>
      <c r="E14" s="110" t="n">
        <v>2040000</v>
      </c>
      <c r="F14" s="110" t="n">
        <v>638000</v>
      </c>
      <c r="G14" s="110" t="n">
        <v>118000</v>
      </c>
      <c r="H14" s="111" t="n">
        <f aca="false">IF(F14=0,0,E14/F14)</f>
        <v>3.1974921630094</v>
      </c>
      <c r="I14" s="111" t="n">
        <f aca="false">IF(G14=0,0,E14/G14)</f>
        <v>17.2881355932203</v>
      </c>
      <c r="J14" s="87" t="n">
        <v>38</v>
      </c>
      <c r="K14" s="112" t="n">
        <f aca="false">IF(F14=0,0,G14/F14)</f>
        <v>0.184952978056426</v>
      </c>
    </row>
    <row r="15" customFormat="false" ht="15" hidden="false" customHeight="true" outlineLevel="0" collapsed="false">
      <c r="A15" s="107" t="s">
        <v>200</v>
      </c>
      <c r="B15" s="108" t="s">
        <v>201</v>
      </c>
      <c r="C15" s="109" t="n">
        <v>370</v>
      </c>
      <c r="D15" s="110" t="n">
        <v>3000</v>
      </c>
      <c r="E15" s="110" t="n">
        <v>373000</v>
      </c>
      <c r="F15" s="110" t="n">
        <v>245000</v>
      </c>
      <c r="G15" s="110" t="n">
        <v>10200</v>
      </c>
      <c r="H15" s="111" t="n">
        <f aca="false">IF(F15=0,0,E15/F15)</f>
        <v>1.52244897959184</v>
      </c>
      <c r="I15" s="111" t="n">
        <f aca="false">IF(G15=0,0,E15/G15)</f>
        <v>36.5686274509804</v>
      </c>
      <c r="J15" s="87" t="n">
        <v>50</v>
      </c>
      <c r="K15" s="112" t="n">
        <f aca="false">IF(F15=0,0,G15/F15)</f>
        <v>0.0416326530612245</v>
      </c>
    </row>
    <row r="16" customFormat="false" ht="15" hidden="false" customHeight="true" outlineLevel="0" collapsed="false">
      <c r="A16" s="107" t="s">
        <v>202</v>
      </c>
      <c r="B16" s="108" t="s">
        <v>203</v>
      </c>
      <c r="C16" s="109" t="n">
        <v>53</v>
      </c>
      <c r="D16" s="110" t="n">
        <v>14000</v>
      </c>
      <c r="E16" s="110" t="n">
        <v>67000</v>
      </c>
      <c r="F16" s="110" t="n">
        <v>107000</v>
      </c>
      <c r="G16" s="110" t="n">
        <v>6800</v>
      </c>
      <c r="H16" s="111" t="n">
        <f aca="false">IF(F16=0,0,E16/F16)</f>
        <v>0.626168224299065</v>
      </c>
      <c r="I16" s="111" t="n">
        <f aca="false">IF(G16=0,0,E16/G16)</f>
        <v>9.85294117647059</v>
      </c>
      <c r="J16" s="87" t="n">
        <v>18</v>
      </c>
      <c r="K16" s="112" t="n">
        <f aca="false">IF(F16=0,0,G16/F16)</f>
        <v>0.0635514018691589</v>
      </c>
    </row>
    <row r="17" customFormat="false" ht="15" hidden="false" customHeight="true" outlineLevel="0" collapsed="false">
      <c r="A17" s="107" t="s">
        <v>204</v>
      </c>
      <c r="B17" s="108" t="s">
        <v>205</v>
      </c>
      <c r="C17" s="109" t="n">
        <v>42</v>
      </c>
      <c r="D17" s="110" t="n">
        <v>11000</v>
      </c>
      <c r="E17" s="110" t="n">
        <v>53000</v>
      </c>
      <c r="F17" s="110" t="n">
        <v>150000</v>
      </c>
      <c r="G17" s="110" t="n">
        <v>7000</v>
      </c>
      <c r="H17" s="111" t="n">
        <f aca="false">IF(F17=0,0,E17/F17)</f>
        <v>0.353333333333333</v>
      </c>
      <c r="I17" s="111" t="n">
        <f aca="false">IF(G17=0,0,E17/G17)</f>
        <v>7.57142857142857</v>
      </c>
      <c r="J17" s="87" t="n">
        <v>17</v>
      </c>
      <c r="K17" s="112" t="n">
        <f aca="false">IF(F17=0,0,G17/F17)</f>
        <v>0.0466666666666667</v>
      </c>
    </row>
    <row r="18" customFormat="false" ht="15" hidden="false" customHeight="true" outlineLevel="0" collapsed="false">
      <c r="A18" s="107" t="s">
        <v>206</v>
      </c>
      <c r="B18" s="108" t="s">
        <v>207</v>
      </c>
      <c r="C18" s="109" t="n">
        <v>24</v>
      </c>
      <c r="D18" s="110" t="n">
        <v>6500</v>
      </c>
      <c r="E18" s="110" t="n">
        <v>30500</v>
      </c>
      <c r="F18" s="110" t="n">
        <v>40000</v>
      </c>
      <c r="G18" s="110" t="n">
        <v>3100</v>
      </c>
      <c r="H18" s="111" t="n">
        <f aca="false">IF(F18=0,0,E18/F18)</f>
        <v>0.7625</v>
      </c>
      <c r="I18" s="111" t="n">
        <f aca="false">IF(G18=0,0,E18/G18)</f>
        <v>9.83870967741935</v>
      </c>
      <c r="J18" s="87" t="n">
        <v>23</v>
      </c>
      <c r="K18" s="112" t="n">
        <f aca="false">IF(F18=0,0,G18/F18)</f>
        <v>0.0775</v>
      </c>
    </row>
    <row r="19" customFormat="false" ht="15" hidden="false" customHeight="true" outlineLevel="0" collapsed="false">
      <c r="A19" s="113" t="s">
        <v>208</v>
      </c>
      <c r="B19" s="114"/>
      <c r="C19" s="115" t="n">
        <f aca="false">MEDIAN(C14:C18)</f>
        <v>53</v>
      </c>
      <c r="D19" s="116" t="n">
        <f aca="false">MEDIAN(D14:D18)</f>
        <v>6500</v>
      </c>
      <c r="E19" s="116" t="n">
        <f aca="false">MEDIAN(E14:E18)</f>
        <v>67000</v>
      </c>
      <c r="F19" s="116" t="n">
        <f aca="false">MEDIAN(F14:F18)</f>
        <v>150000</v>
      </c>
      <c r="G19" s="116" t="n">
        <f aca="false">MEDIAN(G14:G18)</f>
        <v>7000</v>
      </c>
      <c r="H19" s="117" t="n">
        <f aca="false">MEDIAN(H14:H18)</f>
        <v>0.7625</v>
      </c>
      <c r="I19" s="117" t="n">
        <f aca="false">MEDIAN(I14:I18)</f>
        <v>9.85294117647059</v>
      </c>
      <c r="J19" s="117" t="n">
        <f aca="false">MEDIAN(J14:J18)</f>
        <v>23</v>
      </c>
      <c r="K19" s="118" t="n">
        <f aca="false">MEDIAN(K14:K18)</f>
        <v>0.0635514018691589</v>
      </c>
    </row>
    <row r="20" customFormat="false" ht="15" hidden="false" customHeight="true" outlineLevel="0" collapsed="false">
      <c r="A20" s="119" t="s">
        <v>209</v>
      </c>
      <c r="B20" s="120" t="s">
        <v>210</v>
      </c>
      <c r="C20" s="121" t="n">
        <v>762.09</v>
      </c>
      <c r="D20" s="122" t="n">
        <v>30287</v>
      </c>
      <c r="E20" s="123" t="n">
        <f aca="false">C20*1000+D20</f>
        <v>792377</v>
      </c>
      <c r="F20" s="122" t="n">
        <v>713163</v>
      </c>
      <c r="G20" s="122" t="n">
        <v>44028</v>
      </c>
      <c r="H20" s="124" t="n">
        <f aca="false">IF(F20=0,0,E20/F20)</f>
        <v>1.11107418640619</v>
      </c>
      <c r="I20" s="124" t="n">
        <f aca="false">IF(G20=0,0,E20/G20)</f>
        <v>17.9971154719724</v>
      </c>
      <c r="J20" s="124" t="n">
        <f aca="false">IF(21893=0,0,C20*1000/21893)</f>
        <v>34.8097565431873</v>
      </c>
      <c r="K20" s="125" t="n">
        <f aca="false">IF(F20=0,0,G20/F20)</f>
        <v>0.0617362370173439</v>
      </c>
    </row>
    <row r="22" customFormat="false" ht="18" hidden="false" customHeight="true" outlineLevel="0" collapsed="false">
      <c r="A22" s="16" t="s">
        <v>211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customFormat="false" ht="27.75" hidden="false" customHeight="true" outlineLevel="0" collapsed="false">
      <c r="A23" s="106"/>
      <c r="B23" s="106" t="s">
        <v>212</v>
      </c>
      <c r="C23" s="106" t="s">
        <v>213</v>
      </c>
      <c r="D23" s="106" t="s">
        <v>214</v>
      </c>
      <c r="E23" s="106" t="s">
        <v>215</v>
      </c>
      <c r="F23" s="106" t="s">
        <v>157</v>
      </c>
      <c r="G23" s="106" t="s">
        <v>158</v>
      </c>
      <c r="H23" s="106" t="s">
        <v>216</v>
      </c>
      <c r="I23" s="106" t="s">
        <v>217</v>
      </c>
      <c r="J23" s="106" t="s">
        <v>218</v>
      </c>
      <c r="K23" s="106" t="s">
        <v>219</v>
      </c>
    </row>
    <row r="24" customFormat="false" ht="15" hidden="false" customHeight="true" outlineLevel="0" collapsed="false">
      <c r="B24" s="126" t="s">
        <v>220</v>
      </c>
      <c r="C24" s="127" t="n">
        <f aca="false">I19</f>
        <v>9.85294117647059</v>
      </c>
      <c r="D24" s="128" t="n">
        <f aca="false">'Income Statement'!I18</f>
        <v>49186.85211</v>
      </c>
      <c r="E24" s="92" t="n">
        <f aca="false">C24*D24</f>
        <v>484635.160495588</v>
      </c>
      <c r="F24" s="129" t="n">
        <f aca="false">D20</f>
        <v>30287</v>
      </c>
      <c r="G24" s="92" t="n">
        <f aca="false">E24-F24</f>
        <v>454348.160495588</v>
      </c>
      <c r="H24" s="130" t="n">
        <f aca="false">'Income Statement'!I21</f>
        <v>7950</v>
      </c>
      <c r="I24" s="131" t="n">
        <f aca="false">IF(H24=0,0,G24/H24)</f>
        <v>57.1507120120237</v>
      </c>
      <c r="J24" s="132" t="n">
        <v>0.5</v>
      </c>
      <c r="K24" s="133" t="n">
        <f aca="false">I24*J24</f>
        <v>28.5753560060118</v>
      </c>
    </row>
    <row r="25" customFormat="false" ht="15" hidden="false" customHeight="true" outlineLevel="0" collapsed="false">
      <c r="B25" s="126" t="s">
        <v>221</v>
      </c>
      <c r="C25" s="127" t="n">
        <f aca="false">J19</f>
        <v>23</v>
      </c>
      <c r="D25" s="134" t="n">
        <f aca="false">'Income Statement'!I16/'Income Statement'!I21</f>
        <v>3.20054201981132</v>
      </c>
      <c r="E25" s="86" t="s">
        <v>222</v>
      </c>
      <c r="F25" s="86"/>
      <c r="G25" s="86"/>
      <c r="H25" s="86"/>
      <c r="I25" s="131" t="n">
        <f aca="false">C25*D25</f>
        <v>73.6124664556604</v>
      </c>
      <c r="J25" s="132" t="n">
        <v>0.5</v>
      </c>
      <c r="K25" s="133" t="n">
        <f aca="false">I25*J25</f>
        <v>36.8062332278302</v>
      </c>
    </row>
    <row r="26" customFormat="false" ht="24" hidden="false" customHeight="true" outlineLevel="0" collapsed="false">
      <c r="A26" s="135" t="s">
        <v>223</v>
      </c>
      <c r="B26" s="135"/>
      <c r="C26" s="135"/>
      <c r="D26" s="135"/>
      <c r="E26" s="135"/>
      <c r="F26" s="135"/>
      <c r="G26" s="135"/>
      <c r="H26" s="135"/>
      <c r="I26" s="95" t="n">
        <f aca="false">K24+K25</f>
        <v>65.381589233842</v>
      </c>
    </row>
    <row r="28" customFormat="false" ht="18" hidden="false" customHeight="true" outlineLevel="0" collapsed="false">
      <c r="A28" s="16" t="s">
        <v>224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customFormat="false" ht="15.75" hidden="false" customHeight="true" outlineLevel="0" collapsed="false">
      <c r="A29" s="136" t="s">
        <v>212</v>
      </c>
      <c r="B29" s="136" t="s">
        <v>217</v>
      </c>
      <c r="C29" s="136" t="s">
        <v>218</v>
      </c>
      <c r="D29" s="136" t="s">
        <v>225</v>
      </c>
    </row>
    <row r="30" customFormat="false" ht="15" hidden="false" customHeight="true" outlineLevel="0" collapsed="false">
      <c r="A30" s="126" t="s">
        <v>226</v>
      </c>
      <c r="B30" s="134" t="n">
        <f aca="false">'DCF Valuation'!C29</f>
        <v>110.702901347199</v>
      </c>
      <c r="C30" s="132" t="n">
        <v>0.7</v>
      </c>
      <c r="D30" s="133" t="n">
        <f aca="false">B30*C30</f>
        <v>77.4920309430394</v>
      </c>
    </row>
    <row r="31" customFormat="false" ht="15" hidden="false" customHeight="true" outlineLevel="0" collapsed="false">
      <c r="A31" s="126" t="s">
        <v>227</v>
      </c>
      <c r="B31" s="134" t="n">
        <f aca="false">I26</f>
        <v>65.381589233842</v>
      </c>
      <c r="C31" s="132" t="n">
        <v>0.3</v>
      </c>
      <c r="D31" s="133" t="n">
        <f aca="false">B31*C31</f>
        <v>19.6144767701526</v>
      </c>
    </row>
    <row r="32" customFormat="false" ht="24" hidden="false" customHeight="true" outlineLevel="0" collapsed="false">
      <c r="A32" s="94" t="s">
        <v>228</v>
      </c>
      <c r="B32" s="137" t="n">
        <f aca="false">D30+D31</f>
        <v>97.106507713192</v>
      </c>
      <c r="C32" s="96" t="s">
        <v>229</v>
      </c>
      <c r="D32" s="96"/>
      <c r="E32" s="96"/>
      <c r="F32" s="96"/>
      <c r="G32" s="96"/>
      <c r="H32" s="96"/>
      <c r="I32" s="96"/>
      <c r="J32" s="96"/>
      <c r="K32" s="96"/>
    </row>
    <row r="33" customFormat="false" ht="19.5" hidden="false" customHeight="true" outlineLevel="0" collapsed="false">
      <c r="A33" s="90" t="s">
        <v>230</v>
      </c>
      <c r="B33" s="138" t="s">
        <v>4</v>
      </c>
      <c r="C33" s="105" t="s">
        <v>231</v>
      </c>
      <c r="D33" s="105"/>
      <c r="E33" s="105"/>
      <c r="F33" s="105"/>
      <c r="G33" s="105"/>
      <c r="H33" s="105"/>
      <c r="I33" s="105"/>
      <c r="J33" s="105"/>
      <c r="K33" s="105"/>
    </row>
  </sheetData>
  <mergeCells count="14">
    <mergeCell ref="A3:K3"/>
    <mergeCell ref="A5:K5"/>
    <mergeCell ref="B6:K6"/>
    <mergeCell ref="B7:K7"/>
    <mergeCell ref="B8:K8"/>
    <mergeCell ref="B9:K9"/>
    <mergeCell ref="B10:K10"/>
    <mergeCell ref="A12:K12"/>
    <mergeCell ref="A22:K22"/>
    <mergeCell ref="E25:H25"/>
    <mergeCell ref="A26:H26"/>
    <mergeCell ref="A28:K28"/>
    <mergeCell ref="C32:K32"/>
    <mergeCell ref="C33:K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6" min="2" style="1" width="12"/>
    <col collapsed="false" customWidth="true" hidden="false" outlineLevel="0" max="7" min="7" style="1" width="50"/>
  </cols>
  <sheetData>
    <row r="1" customFormat="false" ht="16.5" hidden="false" customHeight="true" outlineLevel="0" collapsed="false">
      <c r="A1" s="45" t="s">
        <v>232</v>
      </c>
    </row>
    <row r="2" customFormat="false" ht="15" hidden="false" customHeight="true" outlineLevel="0" collapsed="false">
      <c r="A2" s="139" t="s">
        <v>233</v>
      </c>
    </row>
    <row r="4" customFormat="false" ht="15" hidden="false" customHeight="true" outlineLevel="0" collapsed="false">
      <c r="A4" s="47" t="s">
        <v>234</v>
      </c>
      <c r="B4" s="97" t="s">
        <v>22</v>
      </c>
      <c r="C4" s="97" t="s">
        <v>23</v>
      </c>
      <c r="D4" s="97" t="s">
        <v>24</v>
      </c>
      <c r="E4" s="97" t="s">
        <v>25</v>
      </c>
      <c r="F4" s="97" t="s">
        <v>26</v>
      </c>
      <c r="G4" s="97" t="s">
        <v>235</v>
      </c>
    </row>
    <row r="5" customFormat="false" ht="15" hidden="false" customHeight="true" outlineLevel="0" collapsed="false">
      <c r="A5" s="140" t="s">
        <v>236</v>
      </c>
      <c r="B5" s="141" t="n">
        <v>0.045</v>
      </c>
      <c r="C5" s="141" t="n">
        <v>0.045</v>
      </c>
      <c r="D5" s="141" t="n">
        <v>0.043</v>
      </c>
      <c r="E5" s="141" t="n">
        <v>0.04</v>
      </c>
      <c r="F5" s="141" t="n">
        <v>0.038</v>
      </c>
      <c r="G5" s="142" t="s">
        <v>237</v>
      </c>
    </row>
    <row r="6" customFormat="false" ht="15" hidden="false" customHeight="true" outlineLevel="0" collapsed="false">
      <c r="A6" s="140" t="s">
        <v>29</v>
      </c>
      <c r="B6" s="141" t="n">
        <v>0.251</v>
      </c>
      <c r="C6" s="141" t="n">
        <v>0.253</v>
      </c>
      <c r="D6" s="141" t="n">
        <v>0.255</v>
      </c>
      <c r="E6" s="141" t="n">
        <v>0.257</v>
      </c>
      <c r="F6" s="141" t="n">
        <v>0.259</v>
      </c>
      <c r="G6" s="142" t="s">
        <v>238</v>
      </c>
    </row>
    <row r="7" customFormat="false" ht="15" hidden="false" customHeight="true" outlineLevel="0" collapsed="false">
      <c r="A7" s="140" t="s">
        <v>239</v>
      </c>
      <c r="B7" s="141" t="n">
        <v>0.205</v>
      </c>
      <c r="C7" s="141" t="n">
        <v>0.203</v>
      </c>
      <c r="D7" s="141" t="n">
        <v>0.201</v>
      </c>
      <c r="E7" s="141" t="n">
        <v>0.199</v>
      </c>
      <c r="F7" s="141" t="n">
        <v>0.197</v>
      </c>
      <c r="G7" s="142" t="s">
        <v>240</v>
      </c>
    </row>
    <row r="8" customFormat="false" ht="15" hidden="false" customHeight="true" outlineLevel="0" collapsed="false">
      <c r="A8" s="140" t="s">
        <v>33</v>
      </c>
      <c r="B8" s="143" t="n">
        <f aca="false">'Income Statement'!I19</f>
        <v>0.066</v>
      </c>
      <c r="C8" s="143" t="n">
        <f aca="false">'Income Statement'!J19</f>
        <v>0.0699999999999999</v>
      </c>
      <c r="D8" s="143" t="n">
        <f aca="false">'Income Statement'!K19</f>
        <v>0.074</v>
      </c>
      <c r="E8" s="143" t="n">
        <f aca="false">'Income Statement'!L19</f>
        <v>0.078</v>
      </c>
      <c r="F8" s="143" t="n">
        <f aca="false">'Income Statement'!M19</f>
        <v>0.082</v>
      </c>
      <c r="G8" s="142" t="s">
        <v>241</v>
      </c>
    </row>
    <row r="9" customFormat="false" ht="15" hidden="false" customHeight="true" outlineLevel="0" collapsed="false">
      <c r="A9" s="140" t="s">
        <v>242</v>
      </c>
      <c r="B9" s="141" t="n">
        <v>0.037</v>
      </c>
      <c r="C9" s="141" t="n">
        <v>0.036</v>
      </c>
      <c r="D9" s="141" t="n">
        <v>0.034</v>
      </c>
      <c r="E9" s="141" t="n">
        <v>0.032</v>
      </c>
      <c r="F9" s="141" t="n">
        <v>0.03</v>
      </c>
      <c r="G9" s="142" t="s">
        <v>243</v>
      </c>
    </row>
    <row r="10" customFormat="false" ht="15" hidden="false" customHeight="true" outlineLevel="0" collapsed="false">
      <c r="A10" s="140" t="s">
        <v>73</v>
      </c>
      <c r="B10" s="141" t="n">
        <v>0.25</v>
      </c>
      <c r="C10" s="141" t="n">
        <v>0.25</v>
      </c>
      <c r="D10" s="141" t="n">
        <v>0.25</v>
      </c>
      <c r="E10" s="141" t="n">
        <v>0.25</v>
      </c>
      <c r="F10" s="141" t="n">
        <v>0.25</v>
      </c>
      <c r="G10" s="142" t="s">
        <v>244</v>
      </c>
    </row>
    <row r="11" customFormat="false" ht="15" hidden="false" customHeight="true" outlineLevel="0" collapsed="false">
      <c r="A11" s="140" t="s">
        <v>245</v>
      </c>
      <c r="B11" s="144" t="n">
        <v>7950</v>
      </c>
      <c r="C11" s="144" t="n">
        <v>7880</v>
      </c>
      <c r="D11" s="144" t="n">
        <v>7810</v>
      </c>
      <c r="E11" s="144" t="n">
        <v>7740</v>
      </c>
      <c r="F11" s="144" t="n">
        <v>7670</v>
      </c>
      <c r="G11" s="142" t="s">
        <v>246</v>
      </c>
    </row>
    <row r="12" customFormat="false" ht="15" hidden="false" customHeight="true" outlineLevel="0" collapsed="false">
      <c r="A12" s="145" t="s">
        <v>247</v>
      </c>
      <c r="B12" s="146" t="n">
        <v>0.02</v>
      </c>
      <c r="C12" s="146" t="n">
        <v>0.02</v>
      </c>
      <c r="D12" s="146" t="n">
        <v>0.02</v>
      </c>
      <c r="E12" s="146" t="n">
        <v>0.02</v>
      </c>
      <c r="F12" s="146" t="n">
        <v>0.02</v>
      </c>
      <c r="G12" s="147" t="s">
        <v>248</v>
      </c>
    </row>
    <row r="13" customFormat="false" ht="15" hidden="false" customHeight="true" outlineLevel="0" collapsed="false">
      <c r="A13" s="145" t="s">
        <v>249</v>
      </c>
      <c r="B13" s="148" t="n">
        <v>-356</v>
      </c>
      <c r="C13" s="148" t="n">
        <v>-356</v>
      </c>
      <c r="D13" s="148" t="n">
        <v>-356</v>
      </c>
      <c r="E13" s="148" t="n">
        <v>-356</v>
      </c>
      <c r="F13" s="148" t="n">
        <v>-356</v>
      </c>
      <c r="G13" s="147" t="s">
        <v>250</v>
      </c>
    </row>
    <row r="14" customFormat="false" ht="15" hidden="false" customHeight="true" outlineLevel="0" collapsed="false">
      <c r="A14" s="145" t="s">
        <v>251</v>
      </c>
      <c r="B14" s="149" t="n">
        <v>-0.0015</v>
      </c>
      <c r="C14" s="149" t="n">
        <v>-0.0015</v>
      </c>
      <c r="D14" s="149" t="n">
        <v>-0.0015</v>
      </c>
      <c r="E14" s="149" t="n">
        <v>-0.0015</v>
      </c>
      <c r="F14" s="149" t="n">
        <v>-0.0015</v>
      </c>
      <c r="G14" s="147" t="s">
        <v>252</v>
      </c>
    </row>
    <row r="15" customFormat="false" ht="15" hidden="false" customHeight="true" outlineLevel="0" collapsed="false">
      <c r="A15" s="145" t="s">
        <v>253</v>
      </c>
      <c r="B15" s="149" t="n">
        <v>-0.002</v>
      </c>
      <c r="C15" s="149" t="n">
        <v>-0.002</v>
      </c>
      <c r="D15" s="149" t="n">
        <v>-0.002</v>
      </c>
      <c r="E15" s="149" t="n">
        <v>-0.002</v>
      </c>
      <c r="F15" s="149" t="n">
        <v>-0.002</v>
      </c>
      <c r="G15" s="147" t="s">
        <v>254</v>
      </c>
    </row>
    <row r="16" customFormat="false" ht="15" hidden="false" customHeight="true" outlineLevel="0" collapsed="false">
      <c r="A16" s="145" t="s">
        <v>255</v>
      </c>
      <c r="B16" s="149" t="n">
        <v>0.004</v>
      </c>
      <c r="C16" s="149" t="n">
        <v>0.004</v>
      </c>
      <c r="D16" s="149" t="n">
        <v>0.004</v>
      </c>
      <c r="E16" s="149" t="n">
        <v>0.004</v>
      </c>
      <c r="F16" s="149" t="n">
        <v>0.004</v>
      </c>
      <c r="G16" s="147" t="s">
        <v>256</v>
      </c>
    </row>
    <row r="17" customFormat="false" ht="15" hidden="false" customHeight="true" outlineLevel="0" collapsed="false">
      <c r="A17" s="145" t="s">
        <v>257</v>
      </c>
      <c r="B17" s="148" t="n">
        <v>500</v>
      </c>
      <c r="C17" s="148" t="n">
        <v>500</v>
      </c>
      <c r="D17" s="148" t="n">
        <v>500</v>
      </c>
      <c r="E17" s="148" t="n">
        <v>500</v>
      </c>
      <c r="F17" s="148" t="n">
        <v>500</v>
      </c>
      <c r="G17" s="147" t="s">
        <v>258</v>
      </c>
    </row>
    <row r="18" customFormat="false" ht="15" hidden="false" customHeight="true" outlineLevel="0" collapsed="false">
      <c r="A18" s="145" t="s">
        <v>259</v>
      </c>
      <c r="B18" s="148" t="n">
        <v>-7700</v>
      </c>
      <c r="C18" s="148" t="n">
        <v>-7930</v>
      </c>
      <c r="D18" s="148" t="n">
        <v>-8165</v>
      </c>
      <c r="E18" s="148" t="n">
        <v>-8410</v>
      </c>
      <c r="F18" s="148" t="n">
        <v>-8660</v>
      </c>
      <c r="G18" s="147" t="s">
        <v>260</v>
      </c>
    </row>
    <row r="19" customFormat="false" ht="15" hidden="false" customHeight="true" outlineLevel="0" collapsed="false">
      <c r="A19" s="145" t="s">
        <v>261</v>
      </c>
      <c r="B19" s="148" t="n">
        <v>-8000</v>
      </c>
      <c r="C19" s="148" t="n">
        <v>-8000</v>
      </c>
      <c r="D19" s="148" t="n">
        <v>-8000</v>
      </c>
      <c r="E19" s="148" t="n">
        <v>-8000</v>
      </c>
      <c r="F19" s="148" t="n">
        <v>-8000</v>
      </c>
      <c r="G19" s="147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2026-04-15T12:05:39Z</dcterms:created>
  <dc:creator>openpyxl</dc:creator>
  <dc:description/>
  <dc:language>en-US</dc:language>
  <cp:lastModifiedBy>Spadafora Palm, Winston</cp:lastModifiedBy>
  <dcterms:modified xsi:type="dcterms:W3CDTF">2026-04-22T00:24:23Z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